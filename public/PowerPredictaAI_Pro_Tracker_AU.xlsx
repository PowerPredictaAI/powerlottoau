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5"/>
    <sheet state="visible" name="Summary" sheetId="2" r:id="rId6"/>
    <sheet state="visible" name="Parameters" sheetId="3" r:id="rId7"/>
  </sheets>
  <definedNames/>
  <calcPr/>
</workbook>
</file>

<file path=xl/sharedStrings.xml><?xml version="1.0" encoding="utf-8"?>
<sst xmlns="http://schemas.openxmlformats.org/spreadsheetml/2006/main" count="51" uniqueCount="42">
  <si>
    <t xml:space="preserve">POWER PREDICTA AI </t>
  </si>
  <si>
    <r>
      <rPr>
        <rFont val="Calibri"/>
        <b/>
        <color rgb="FFFF0000"/>
        <sz val="30.0"/>
      </rPr>
      <t>PRO</t>
    </r>
    <r>
      <rPr>
        <rFont val="Calibri"/>
        <b/>
        <color rgb="FFFFFFFF"/>
        <sz val="30.0"/>
      </rPr>
      <t xml:space="preserve"> TRACKER</t>
    </r>
  </si>
  <si>
    <t>Entry_ID</t>
  </si>
  <si>
    <t>Date</t>
  </si>
  <si>
    <t>Draw No.</t>
  </si>
  <si>
    <t>M1</t>
  </si>
  <si>
    <t>M2</t>
  </si>
  <si>
    <t>M3</t>
  </si>
  <si>
    <t>M4</t>
  </si>
  <si>
    <t>M5</t>
  </si>
  <si>
    <t>M6</t>
  </si>
  <si>
    <t>M7</t>
  </si>
  <si>
    <t>PB</t>
  </si>
  <si>
    <t>Cost_AUD</t>
  </si>
  <si>
    <t>Prize_AUD</t>
  </si>
  <si>
    <t>Fees_AUD</t>
  </si>
  <si>
    <t>Net_AUD</t>
  </si>
  <si>
    <t>Strategy_Tag</t>
  </si>
  <si>
    <t>Notes</t>
  </si>
  <si>
    <t>Random</t>
  </si>
  <si>
    <t>First trial using PowerPlay</t>
  </si>
  <si>
    <t>Manual</t>
  </si>
  <si>
    <t>Matched 2 numbers + PB</t>
  </si>
  <si>
    <t>Metric</t>
  </si>
  <si>
    <t>Value</t>
  </si>
  <si>
    <t>Total Entries</t>
  </si>
  <si>
    <t>Total Cost (AUD)</t>
  </si>
  <si>
    <t>Total Prize (AUD)</t>
  </si>
  <si>
    <t>Total Fees (AUD)</t>
  </si>
  <si>
    <t>Net Result (AUD)</t>
  </si>
  <si>
    <t>ROI (%)</t>
  </si>
  <si>
    <t>Positive Games</t>
  </si>
  <si>
    <t>Negative Games</t>
  </si>
  <si>
    <t>Break-even Games</t>
  </si>
  <si>
    <t>Win Rate</t>
  </si>
  <si>
    <t>KPI</t>
  </si>
  <si>
    <t>Outcome</t>
  </si>
  <si>
    <t>Count</t>
  </si>
  <si>
    <t>Parameter</t>
  </si>
  <si>
    <t>Description</t>
  </si>
  <si>
    <t>Default_Cost_Standard</t>
  </si>
  <si>
    <t>Default cost per standard entry (1 line).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</si>
</sst>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9.0"/>
      <color rgb="FFFFFFFF"/>
      <name val="Calibri"/>
    </font>
    <font>
      <b/>
      <sz val="30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right" readingOrder="0" vertical="center"/>
    </xf>
    <xf borderId="1" fillId="0" fontId="5" numFmtId="165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10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KPI Overview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KPI Overview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Summary!$A$16:$A$18</c:f>
            </c:strRef>
          </c:cat>
          <c:val>
            <c:numRef>
              <c:f>Summary!$B$16:$B$18</c:f>
              <c:numCache/>
            </c:numRef>
          </c:val>
        </c:ser>
        <c:axId val="542146491"/>
        <c:axId val="1054656591"/>
      </c:barChart>
      <c:catAx>
        <c:axId val="542146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656591"/>
      </c:catAx>
      <c:valAx>
        <c:axId val="1054656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14649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Games Outcome Split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Summary!$A$22:$A$24</c:f>
            </c:strRef>
          </c:cat>
          <c:val>
            <c:numRef>
              <c:f>Summary!$B$22:$B$24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2695575</xdr:colOff>
      <xdr:row>1</xdr:row>
      <xdr:rowOff>47625</xdr:rowOff>
    </xdr:from>
    <xdr:ext cx="4800600" cy="3171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2695575</xdr:colOff>
      <xdr:row>17</xdr:row>
      <xdr:rowOff>171450</xdr:rowOff>
    </xdr:from>
    <xdr:ext cx="4800600" cy="31718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14"/>
    <col customWidth="1" min="2" max="2" width="13.43"/>
    <col customWidth="1" min="3" max="11" width="9.14"/>
    <col customWidth="1" min="12" max="15" width="12.71"/>
    <col customWidth="1" min="16" max="16" width="16.71"/>
    <col customWidth="1" min="17" max="17" width="28.71"/>
    <col customWidth="1" min="18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</row>
    <row r="2" ht="23.2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2</v>
      </c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5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5" t="s">
        <v>17</v>
      </c>
      <c r="Q5" s="5" t="s">
        <v>18</v>
      </c>
    </row>
    <row r="6">
      <c r="A6" s="7">
        <v>1.0</v>
      </c>
      <c r="B6" s="8">
        <v>46037.0</v>
      </c>
      <c r="C6" s="9">
        <v>1548.0</v>
      </c>
      <c r="D6" s="9">
        <v>1.0</v>
      </c>
      <c r="E6" s="9">
        <v>3.0</v>
      </c>
      <c r="F6" s="9">
        <v>10.0</v>
      </c>
      <c r="G6" s="9">
        <v>12.0</v>
      </c>
      <c r="H6" s="9">
        <v>17.0</v>
      </c>
      <c r="I6" s="9">
        <v>28.0</v>
      </c>
      <c r="J6" s="9">
        <v>32.0</v>
      </c>
      <c r="K6" s="9">
        <v>8.0</v>
      </c>
      <c r="L6" s="10">
        <v>5.6</v>
      </c>
      <c r="M6" s="11">
        <v>0.0</v>
      </c>
      <c r="N6" s="10">
        <v>0.68</v>
      </c>
      <c r="O6" s="11">
        <f t="shared" ref="O6:O1005" si="1">M6-N6-L6</f>
        <v>-6.28</v>
      </c>
      <c r="P6" s="12" t="s">
        <v>19</v>
      </c>
      <c r="Q6" s="13" t="s">
        <v>20</v>
      </c>
    </row>
    <row r="7">
      <c r="A7" s="7">
        <v>2.0</v>
      </c>
      <c r="B7" s="8">
        <v>46044.0</v>
      </c>
      <c r="C7" s="9">
        <v>1549.0</v>
      </c>
      <c r="D7" s="9">
        <v>6.0</v>
      </c>
      <c r="E7" s="9">
        <v>8.0</v>
      </c>
      <c r="F7" s="9">
        <v>13.0</v>
      </c>
      <c r="G7" s="9">
        <v>19.0</v>
      </c>
      <c r="H7" s="9">
        <v>22.0</v>
      </c>
      <c r="I7" s="9">
        <v>27.0</v>
      </c>
      <c r="J7" s="9">
        <v>31.0</v>
      </c>
      <c r="K7" s="9">
        <v>5.0</v>
      </c>
      <c r="L7" s="10">
        <v>5.6</v>
      </c>
      <c r="M7" s="10">
        <v>11.6</v>
      </c>
      <c r="N7" s="10">
        <v>0.68</v>
      </c>
      <c r="O7" s="11">
        <f t="shared" si="1"/>
        <v>5.32</v>
      </c>
      <c r="P7" s="14" t="s">
        <v>21</v>
      </c>
      <c r="Q7" s="15" t="s">
        <v>22</v>
      </c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0"/>
      <c r="M8" s="10"/>
      <c r="N8" s="11"/>
      <c r="O8" s="11">
        <f t="shared" si="1"/>
        <v>0</v>
      </c>
      <c r="P8" s="14"/>
      <c r="Q8" s="13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0"/>
      <c r="M9" s="10"/>
      <c r="N9" s="11"/>
      <c r="O9" s="11">
        <f t="shared" si="1"/>
        <v>0</v>
      </c>
      <c r="P9" s="14"/>
      <c r="Q9" s="13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0"/>
      <c r="M10" s="10"/>
      <c r="N10" s="11"/>
      <c r="O10" s="11">
        <f t="shared" si="1"/>
        <v>0</v>
      </c>
      <c r="P10" s="14"/>
      <c r="Q10" s="13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1"/>
      <c r="M11" s="11"/>
      <c r="N11" s="11"/>
      <c r="O11" s="11">
        <f t="shared" si="1"/>
        <v>0</v>
      </c>
      <c r="P11" s="14"/>
      <c r="Q11" s="13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1"/>
      <c r="M12" s="11"/>
      <c r="N12" s="11"/>
      <c r="O12" s="11">
        <f t="shared" si="1"/>
        <v>0</v>
      </c>
      <c r="P12" s="14"/>
      <c r="Q12" s="13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1"/>
      <c r="M13" s="11"/>
      <c r="N13" s="11"/>
      <c r="O13" s="11">
        <f t="shared" si="1"/>
        <v>0</v>
      </c>
      <c r="P13" s="14"/>
      <c r="Q13" s="13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1"/>
      <c r="M14" s="11"/>
      <c r="N14" s="11"/>
      <c r="O14" s="11">
        <f t="shared" si="1"/>
        <v>0</v>
      </c>
      <c r="P14" s="14"/>
      <c r="Q14" s="13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1"/>
      <c r="M15" s="11"/>
      <c r="N15" s="11"/>
      <c r="O15" s="11">
        <f t="shared" si="1"/>
        <v>0</v>
      </c>
      <c r="P15" s="14"/>
      <c r="Q15" s="13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1"/>
      <c r="M16" s="11"/>
      <c r="N16" s="11"/>
      <c r="O16" s="11">
        <f t="shared" si="1"/>
        <v>0</v>
      </c>
      <c r="P16" s="14"/>
      <c r="Q16" s="13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1"/>
      <c r="M17" s="11"/>
      <c r="N17" s="11"/>
      <c r="O17" s="11">
        <f t="shared" si="1"/>
        <v>0</v>
      </c>
      <c r="P17" s="14"/>
      <c r="Q17" s="13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1"/>
      <c r="M18" s="11"/>
      <c r="N18" s="11"/>
      <c r="O18" s="11">
        <f t="shared" si="1"/>
        <v>0</v>
      </c>
      <c r="P18" s="14"/>
      <c r="Q18" s="13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1"/>
      <c r="M19" s="11"/>
      <c r="N19" s="11"/>
      <c r="O19" s="11">
        <f t="shared" si="1"/>
        <v>0</v>
      </c>
      <c r="P19" s="14"/>
      <c r="Q19" s="13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1"/>
      <c r="M20" s="11"/>
      <c r="N20" s="11"/>
      <c r="O20" s="11">
        <f t="shared" si="1"/>
        <v>0</v>
      </c>
      <c r="P20" s="14"/>
      <c r="Q20" s="13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1"/>
      <c r="M21" s="11"/>
      <c r="N21" s="11"/>
      <c r="O21" s="11">
        <f t="shared" si="1"/>
        <v>0</v>
      </c>
      <c r="P21" s="14"/>
      <c r="Q21" s="13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1"/>
      <c r="M22" s="11"/>
      <c r="N22" s="11"/>
      <c r="O22" s="11">
        <f t="shared" si="1"/>
        <v>0</v>
      </c>
      <c r="P22" s="14"/>
      <c r="Q22" s="13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1"/>
      <c r="M23" s="11"/>
      <c r="N23" s="11"/>
      <c r="O23" s="11">
        <f t="shared" si="1"/>
        <v>0</v>
      </c>
      <c r="P23" s="14"/>
      <c r="Q23" s="13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1"/>
      <c r="M24" s="11"/>
      <c r="N24" s="11"/>
      <c r="O24" s="11">
        <f t="shared" si="1"/>
        <v>0</v>
      </c>
      <c r="P24" s="14"/>
      <c r="Q24" s="13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1"/>
      <c r="M25" s="11"/>
      <c r="N25" s="11"/>
      <c r="O25" s="11">
        <f t="shared" si="1"/>
        <v>0</v>
      </c>
      <c r="P25" s="14"/>
      <c r="Q25" s="13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1"/>
      <c r="M26" s="11"/>
      <c r="N26" s="11"/>
      <c r="O26" s="11">
        <f t="shared" si="1"/>
        <v>0</v>
      </c>
      <c r="P26" s="14"/>
      <c r="Q26" s="13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1"/>
      <c r="M27" s="11"/>
      <c r="N27" s="11"/>
      <c r="O27" s="11">
        <f t="shared" si="1"/>
        <v>0</v>
      </c>
      <c r="P27" s="14"/>
      <c r="Q27" s="13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1"/>
      <c r="M28" s="11"/>
      <c r="N28" s="11"/>
      <c r="O28" s="11">
        <f t="shared" si="1"/>
        <v>0</v>
      </c>
      <c r="P28" s="14"/>
      <c r="Q28" s="13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1"/>
      <c r="M29" s="11"/>
      <c r="N29" s="11"/>
      <c r="O29" s="11">
        <f t="shared" si="1"/>
        <v>0</v>
      </c>
      <c r="P29" s="14"/>
      <c r="Q29" s="13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1"/>
      <c r="M30" s="11"/>
      <c r="N30" s="11"/>
      <c r="O30" s="11">
        <f t="shared" si="1"/>
        <v>0</v>
      </c>
      <c r="P30" s="14"/>
      <c r="Q30" s="13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1"/>
      <c r="M31" s="11"/>
      <c r="N31" s="11"/>
      <c r="O31" s="11">
        <f t="shared" si="1"/>
        <v>0</v>
      </c>
      <c r="P31" s="14"/>
      <c r="Q31" s="13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1"/>
      <c r="M32" s="11"/>
      <c r="N32" s="11"/>
      <c r="O32" s="11">
        <f t="shared" si="1"/>
        <v>0</v>
      </c>
      <c r="P32" s="14"/>
      <c r="Q32" s="13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1"/>
      <c r="M33" s="11"/>
      <c r="N33" s="11"/>
      <c r="O33" s="11">
        <f t="shared" si="1"/>
        <v>0</v>
      </c>
      <c r="P33" s="14"/>
      <c r="Q33" s="13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1"/>
      <c r="M34" s="11"/>
      <c r="N34" s="11"/>
      <c r="O34" s="11">
        <f t="shared" si="1"/>
        <v>0</v>
      </c>
      <c r="P34" s="14"/>
      <c r="Q34" s="13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1"/>
      <c r="M35" s="11"/>
      <c r="N35" s="11"/>
      <c r="O35" s="11">
        <f t="shared" si="1"/>
        <v>0</v>
      </c>
      <c r="P35" s="14"/>
      <c r="Q35" s="13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1"/>
      <c r="M36" s="11"/>
      <c r="N36" s="11"/>
      <c r="O36" s="11">
        <f t="shared" si="1"/>
        <v>0</v>
      </c>
      <c r="P36" s="14"/>
      <c r="Q36" s="13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1"/>
      <c r="M37" s="11"/>
      <c r="N37" s="11"/>
      <c r="O37" s="11">
        <f t="shared" si="1"/>
        <v>0</v>
      </c>
      <c r="P37" s="14"/>
      <c r="Q37" s="13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1"/>
      <c r="M38" s="11"/>
      <c r="N38" s="11"/>
      <c r="O38" s="11">
        <f t="shared" si="1"/>
        <v>0</v>
      </c>
      <c r="P38" s="14"/>
      <c r="Q38" s="13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1"/>
      <c r="M39" s="11"/>
      <c r="N39" s="11"/>
      <c r="O39" s="11">
        <f t="shared" si="1"/>
        <v>0</v>
      </c>
      <c r="P39" s="14"/>
      <c r="Q39" s="13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1"/>
      <c r="M40" s="11"/>
      <c r="N40" s="11"/>
      <c r="O40" s="11">
        <f t="shared" si="1"/>
        <v>0</v>
      </c>
      <c r="P40" s="14"/>
      <c r="Q40" s="13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1"/>
      <c r="M41" s="11"/>
      <c r="N41" s="11"/>
      <c r="O41" s="11">
        <f t="shared" si="1"/>
        <v>0</v>
      </c>
      <c r="P41" s="14"/>
      <c r="Q41" s="13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1"/>
      <c r="M42" s="11"/>
      <c r="N42" s="11"/>
      <c r="O42" s="11">
        <f t="shared" si="1"/>
        <v>0</v>
      </c>
      <c r="P42" s="14"/>
      <c r="Q42" s="13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1"/>
      <c r="M43" s="11"/>
      <c r="N43" s="11"/>
      <c r="O43" s="11">
        <f t="shared" si="1"/>
        <v>0</v>
      </c>
      <c r="P43" s="14"/>
      <c r="Q43" s="13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1"/>
      <c r="M44" s="11"/>
      <c r="N44" s="11"/>
      <c r="O44" s="11">
        <f t="shared" si="1"/>
        <v>0</v>
      </c>
      <c r="P44" s="14"/>
      <c r="Q44" s="13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1"/>
      <c r="M45" s="11"/>
      <c r="N45" s="11"/>
      <c r="O45" s="11">
        <f t="shared" si="1"/>
        <v>0</v>
      </c>
      <c r="P45" s="14"/>
      <c r="Q45" s="13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1"/>
      <c r="M46" s="11"/>
      <c r="N46" s="11"/>
      <c r="O46" s="11">
        <f t="shared" si="1"/>
        <v>0</v>
      </c>
      <c r="P46" s="14"/>
      <c r="Q46" s="13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1"/>
      <c r="M47" s="11"/>
      <c r="N47" s="11"/>
      <c r="O47" s="11">
        <f t="shared" si="1"/>
        <v>0</v>
      </c>
      <c r="P47" s="14"/>
      <c r="Q47" s="13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1"/>
      <c r="M48" s="11"/>
      <c r="N48" s="11"/>
      <c r="O48" s="11">
        <f t="shared" si="1"/>
        <v>0</v>
      </c>
      <c r="P48" s="14"/>
      <c r="Q48" s="13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1"/>
      <c r="M49" s="11"/>
      <c r="N49" s="11"/>
      <c r="O49" s="11">
        <f t="shared" si="1"/>
        <v>0</v>
      </c>
      <c r="P49" s="14"/>
      <c r="Q49" s="13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1"/>
      <c r="M50" s="11"/>
      <c r="N50" s="11"/>
      <c r="O50" s="11">
        <f t="shared" si="1"/>
        <v>0</v>
      </c>
      <c r="P50" s="14"/>
      <c r="Q50" s="13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1"/>
      <c r="M51" s="11"/>
      <c r="N51" s="11"/>
      <c r="O51" s="11">
        <f t="shared" si="1"/>
        <v>0</v>
      </c>
      <c r="P51" s="14"/>
      <c r="Q51" s="13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1"/>
      <c r="M52" s="11"/>
      <c r="N52" s="11"/>
      <c r="O52" s="11">
        <f t="shared" si="1"/>
        <v>0</v>
      </c>
      <c r="P52" s="14"/>
      <c r="Q52" s="13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1"/>
      <c r="M53" s="11"/>
      <c r="N53" s="11"/>
      <c r="O53" s="11">
        <f t="shared" si="1"/>
        <v>0</v>
      </c>
      <c r="P53" s="14"/>
      <c r="Q53" s="13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1"/>
      <c r="M54" s="11"/>
      <c r="N54" s="11"/>
      <c r="O54" s="11">
        <f t="shared" si="1"/>
        <v>0</v>
      </c>
      <c r="P54" s="14"/>
      <c r="Q54" s="13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1"/>
      <c r="M55" s="11"/>
      <c r="N55" s="11"/>
      <c r="O55" s="11">
        <f t="shared" si="1"/>
        <v>0</v>
      </c>
      <c r="P55" s="14"/>
      <c r="Q55" s="13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1"/>
      <c r="M56" s="11"/>
      <c r="N56" s="11"/>
      <c r="O56" s="11">
        <f t="shared" si="1"/>
        <v>0</v>
      </c>
      <c r="P56" s="14"/>
      <c r="Q56" s="13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1"/>
      <c r="M57" s="11"/>
      <c r="N57" s="11"/>
      <c r="O57" s="11">
        <f t="shared" si="1"/>
        <v>0</v>
      </c>
      <c r="P57" s="14"/>
      <c r="Q57" s="13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1"/>
      <c r="M58" s="11"/>
      <c r="N58" s="11"/>
      <c r="O58" s="11">
        <f t="shared" si="1"/>
        <v>0</v>
      </c>
      <c r="P58" s="14"/>
      <c r="Q58" s="13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1"/>
      <c r="M59" s="11"/>
      <c r="N59" s="11"/>
      <c r="O59" s="11">
        <f t="shared" si="1"/>
        <v>0</v>
      </c>
      <c r="P59" s="14"/>
      <c r="Q59" s="13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1"/>
      <c r="M60" s="11"/>
      <c r="N60" s="11"/>
      <c r="O60" s="11">
        <f t="shared" si="1"/>
        <v>0</v>
      </c>
      <c r="P60" s="14"/>
      <c r="Q60" s="13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1"/>
      <c r="M61" s="11"/>
      <c r="N61" s="11"/>
      <c r="O61" s="11">
        <f t="shared" si="1"/>
        <v>0</v>
      </c>
      <c r="P61" s="14"/>
      <c r="Q61" s="13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1"/>
      <c r="M62" s="11"/>
      <c r="N62" s="11"/>
      <c r="O62" s="11">
        <f t="shared" si="1"/>
        <v>0</v>
      </c>
      <c r="P62" s="14"/>
      <c r="Q62" s="13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1"/>
      <c r="M63" s="11"/>
      <c r="N63" s="11"/>
      <c r="O63" s="11">
        <f t="shared" si="1"/>
        <v>0</v>
      </c>
      <c r="P63" s="14"/>
      <c r="Q63" s="13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1"/>
      <c r="M64" s="11"/>
      <c r="N64" s="11"/>
      <c r="O64" s="11">
        <f t="shared" si="1"/>
        <v>0</v>
      </c>
      <c r="P64" s="14"/>
      <c r="Q64" s="13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1"/>
      <c r="M65" s="11"/>
      <c r="N65" s="11"/>
      <c r="O65" s="11">
        <f t="shared" si="1"/>
        <v>0</v>
      </c>
      <c r="P65" s="14"/>
      <c r="Q65" s="13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1"/>
      <c r="M66" s="11"/>
      <c r="N66" s="11"/>
      <c r="O66" s="11">
        <f t="shared" si="1"/>
        <v>0</v>
      </c>
      <c r="P66" s="14"/>
      <c r="Q66" s="13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1"/>
      <c r="M67" s="11"/>
      <c r="N67" s="11"/>
      <c r="O67" s="11">
        <f t="shared" si="1"/>
        <v>0</v>
      </c>
      <c r="P67" s="14"/>
      <c r="Q67" s="13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1"/>
      <c r="M68" s="11"/>
      <c r="N68" s="11"/>
      <c r="O68" s="11">
        <f t="shared" si="1"/>
        <v>0</v>
      </c>
      <c r="P68" s="14"/>
      <c r="Q68" s="13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1"/>
      <c r="M69" s="11"/>
      <c r="N69" s="11"/>
      <c r="O69" s="11">
        <f t="shared" si="1"/>
        <v>0</v>
      </c>
      <c r="P69" s="14"/>
      <c r="Q69" s="13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1"/>
      <c r="M70" s="11"/>
      <c r="N70" s="11"/>
      <c r="O70" s="11">
        <f t="shared" si="1"/>
        <v>0</v>
      </c>
      <c r="P70" s="14"/>
      <c r="Q70" s="13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1"/>
      <c r="M71" s="11"/>
      <c r="N71" s="11"/>
      <c r="O71" s="11">
        <f t="shared" si="1"/>
        <v>0</v>
      </c>
      <c r="P71" s="14"/>
      <c r="Q71" s="13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1"/>
      <c r="M72" s="11"/>
      <c r="N72" s="11"/>
      <c r="O72" s="11">
        <f t="shared" si="1"/>
        <v>0</v>
      </c>
      <c r="P72" s="14"/>
      <c r="Q72" s="13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1"/>
      <c r="M73" s="11"/>
      <c r="N73" s="11"/>
      <c r="O73" s="11">
        <f t="shared" si="1"/>
        <v>0</v>
      </c>
      <c r="P73" s="14"/>
      <c r="Q73" s="13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1"/>
      <c r="M74" s="11"/>
      <c r="N74" s="11"/>
      <c r="O74" s="11">
        <f t="shared" si="1"/>
        <v>0</v>
      </c>
      <c r="P74" s="14"/>
      <c r="Q74" s="13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1"/>
      <c r="M75" s="11"/>
      <c r="N75" s="11"/>
      <c r="O75" s="11">
        <f t="shared" si="1"/>
        <v>0</v>
      </c>
      <c r="P75" s="14"/>
      <c r="Q75" s="13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1"/>
      <c r="M76" s="11"/>
      <c r="N76" s="11"/>
      <c r="O76" s="11">
        <f t="shared" si="1"/>
        <v>0</v>
      </c>
      <c r="P76" s="14"/>
      <c r="Q76" s="13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1"/>
      <c r="M77" s="11"/>
      <c r="N77" s="11"/>
      <c r="O77" s="11">
        <f t="shared" si="1"/>
        <v>0</v>
      </c>
      <c r="P77" s="14"/>
      <c r="Q77" s="13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1"/>
      <c r="M78" s="11"/>
      <c r="N78" s="11"/>
      <c r="O78" s="11">
        <f t="shared" si="1"/>
        <v>0</v>
      </c>
      <c r="P78" s="14"/>
      <c r="Q78" s="13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1"/>
      <c r="M79" s="11"/>
      <c r="N79" s="11"/>
      <c r="O79" s="11">
        <f t="shared" si="1"/>
        <v>0</v>
      </c>
      <c r="P79" s="14"/>
      <c r="Q79" s="13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1"/>
      <c r="M80" s="11"/>
      <c r="N80" s="11"/>
      <c r="O80" s="11">
        <f t="shared" si="1"/>
        <v>0</v>
      </c>
      <c r="P80" s="14"/>
      <c r="Q80" s="13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1"/>
      <c r="M81" s="11"/>
      <c r="N81" s="11"/>
      <c r="O81" s="11">
        <f t="shared" si="1"/>
        <v>0</v>
      </c>
      <c r="P81" s="14"/>
      <c r="Q81" s="13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1"/>
      <c r="M82" s="11"/>
      <c r="N82" s="11"/>
      <c r="O82" s="11">
        <f t="shared" si="1"/>
        <v>0</v>
      </c>
      <c r="P82" s="14"/>
      <c r="Q82" s="13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1"/>
      <c r="M83" s="11"/>
      <c r="N83" s="11"/>
      <c r="O83" s="11">
        <f t="shared" si="1"/>
        <v>0</v>
      </c>
      <c r="P83" s="14"/>
      <c r="Q83" s="13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1"/>
      <c r="M84" s="11"/>
      <c r="N84" s="11"/>
      <c r="O84" s="11">
        <f t="shared" si="1"/>
        <v>0</v>
      </c>
      <c r="P84" s="14"/>
      <c r="Q84" s="13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1"/>
      <c r="M85" s="11"/>
      <c r="N85" s="11"/>
      <c r="O85" s="11">
        <f t="shared" si="1"/>
        <v>0</v>
      </c>
      <c r="P85" s="14"/>
      <c r="Q85" s="13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1"/>
      <c r="M86" s="11"/>
      <c r="N86" s="11"/>
      <c r="O86" s="11">
        <f t="shared" si="1"/>
        <v>0</v>
      </c>
      <c r="P86" s="14"/>
      <c r="Q86" s="13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1"/>
      <c r="M87" s="11"/>
      <c r="N87" s="11"/>
      <c r="O87" s="11">
        <f t="shared" si="1"/>
        <v>0</v>
      </c>
      <c r="P87" s="14"/>
      <c r="Q87" s="13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1"/>
      <c r="M88" s="11"/>
      <c r="N88" s="11"/>
      <c r="O88" s="11">
        <f t="shared" si="1"/>
        <v>0</v>
      </c>
      <c r="P88" s="14"/>
      <c r="Q88" s="13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1"/>
      <c r="M89" s="11"/>
      <c r="N89" s="11"/>
      <c r="O89" s="11">
        <f t="shared" si="1"/>
        <v>0</v>
      </c>
      <c r="P89" s="14"/>
      <c r="Q89" s="13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1"/>
      <c r="M90" s="11"/>
      <c r="N90" s="11"/>
      <c r="O90" s="11">
        <f t="shared" si="1"/>
        <v>0</v>
      </c>
      <c r="P90" s="14"/>
      <c r="Q90" s="13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1"/>
      <c r="M91" s="11"/>
      <c r="N91" s="11"/>
      <c r="O91" s="11">
        <f t="shared" si="1"/>
        <v>0</v>
      </c>
      <c r="P91" s="14"/>
      <c r="Q91" s="13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1"/>
      <c r="M92" s="11"/>
      <c r="N92" s="11"/>
      <c r="O92" s="11">
        <f t="shared" si="1"/>
        <v>0</v>
      </c>
      <c r="P92" s="14"/>
      <c r="Q92" s="13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1"/>
      <c r="M93" s="11"/>
      <c r="N93" s="11"/>
      <c r="O93" s="11">
        <f t="shared" si="1"/>
        <v>0</v>
      </c>
      <c r="P93" s="14"/>
      <c r="Q93" s="13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1"/>
      <c r="M94" s="11"/>
      <c r="N94" s="11"/>
      <c r="O94" s="11">
        <f t="shared" si="1"/>
        <v>0</v>
      </c>
      <c r="P94" s="14"/>
      <c r="Q94" s="13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1"/>
      <c r="M95" s="11"/>
      <c r="N95" s="11"/>
      <c r="O95" s="11">
        <f t="shared" si="1"/>
        <v>0</v>
      </c>
      <c r="P95" s="14"/>
      <c r="Q95" s="13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1"/>
      <c r="M96" s="11"/>
      <c r="N96" s="11"/>
      <c r="O96" s="11">
        <f t="shared" si="1"/>
        <v>0</v>
      </c>
      <c r="P96" s="14"/>
      <c r="Q96" s="13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1"/>
      <c r="M97" s="11"/>
      <c r="N97" s="11"/>
      <c r="O97" s="11">
        <f t="shared" si="1"/>
        <v>0</v>
      </c>
      <c r="P97" s="14"/>
      <c r="Q97" s="13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1"/>
      <c r="M98" s="11"/>
      <c r="N98" s="11"/>
      <c r="O98" s="11">
        <f t="shared" si="1"/>
        <v>0</v>
      </c>
      <c r="P98" s="14"/>
      <c r="Q98" s="13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1"/>
      <c r="M99" s="11"/>
      <c r="N99" s="11"/>
      <c r="O99" s="11">
        <f t="shared" si="1"/>
        <v>0</v>
      </c>
      <c r="P99" s="14"/>
      <c r="Q99" s="13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1"/>
      <c r="M100" s="11"/>
      <c r="N100" s="11"/>
      <c r="O100" s="11">
        <f t="shared" si="1"/>
        <v>0</v>
      </c>
      <c r="P100" s="14"/>
      <c r="Q100" s="13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1"/>
      <c r="M101" s="11"/>
      <c r="N101" s="11"/>
      <c r="O101" s="11">
        <f t="shared" si="1"/>
        <v>0</v>
      </c>
      <c r="P101" s="14"/>
      <c r="Q101" s="13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1"/>
      <c r="M102" s="11"/>
      <c r="N102" s="11"/>
      <c r="O102" s="11">
        <f t="shared" si="1"/>
        <v>0</v>
      </c>
      <c r="P102" s="14"/>
      <c r="Q102" s="13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1"/>
      <c r="M103" s="11"/>
      <c r="N103" s="11"/>
      <c r="O103" s="11">
        <f t="shared" si="1"/>
        <v>0</v>
      </c>
      <c r="P103" s="14"/>
      <c r="Q103" s="13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1"/>
      <c r="M104" s="11"/>
      <c r="N104" s="11"/>
      <c r="O104" s="11">
        <f t="shared" si="1"/>
        <v>0</v>
      </c>
      <c r="P104" s="14"/>
      <c r="Q104" s="13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1"/>
      <c r="M105" s="11"/>
      <c r="N105" s="11"/>
      <c r="O105" s="11">
        <f t="shared" si="1"/>
        <v>0</v>
      </c>
      <c r="P105" s="14"/>
      <c r="Q105" s="13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1"/>
      <c r="M106" s="11"/>
      <c r="N106" s="11"/>
      <c r="O106" s="11">
        <f t="shared" si="1"/>
        <v>0</v>
      </c>
      <c r="P106" s="14"/>
      <c r="Q106" s="13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1"/>
      <c r="M107" s="11"/>
      <c r="N107" s="11"/>
      <c r="O107" s="11">
        <f t="shared" si="1"/>
        <v>0</v>
      </c>
      <c r="P107" s="14"/>
      <c r="Q107" s="13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1"/>
      <c r="M108" s="11"/>
      <c r="N108" s="11"/>
      <c r="O108" s="11">
        <f t="shared" si="1"/>
        <v>0</v>
      </c>
      <c r="P108" s="14"/>
      <c r="Q108" s="13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1"/>
      <c r="M109" s="11"/>
      <c r="N109" s="11"/>
      <c r="O109" s="11">
        <f t="shared" si="1"/>
        <v>0</v>
      </c>
      <c r="P109" s="14"/>
      <c r="Q109" s="13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1"/>
      <c r="M110" s="11"/>
      <c r="N110" s="11"/>
      <c r="O110" s="11">
        <f t="shared" si="1"/>
        <v>0</v>
      </c>
      <c r="P110" s="14"/>
      <c r="Q110" s="13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1"/>
      <c r="M111" s="11"/>
      <c r="N111" s="11"/>
      <c r="O111" s="11">
        <f t="shared" si="1"/>
        <v>0</v>
      </c>
      <c r="P111" s="14"/>
      <c r="Q111" s="13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1"/>
      <c r="M112" s="11"/>
      <c r="N112" s="11"/>
      <c r="O112" s="11">
        <f t="shared" si="1"/>
        <v>0</v>
      </c>
      <c r="P112" s="14"/>
      <c r="Q112" s="13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1"/>
      <c r="M113" s="11"/>
      <c r="N113" s="11"/>
      <c r="O113" s="11">
        <f t="shared" si="1"/>
        <v>0</v>
      </c>
      <c r="P113" s="14"/>
      <c r="Q113" s="13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1"/>
      <c r="M114" s="11"/>
      <c r="N114" s="11"/>
      <c r="O114" s="11">
        <f t="shared" si="1"/>
        <v>0</v>
      </c>
      <c r="P114" s="14"/>
      <c r="Q114" s="13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1"/>
      <c r="M115" s="11"/>
      <c r="N115" s="11"/>
      <c r="O115" s="11">
        <f t="shared" si="1"/>
        <v>0</v>
      </c>
      <c r="P115" s="14"/>
      <c r="Q115" s="13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1"/>
      <c r="M116" s="11"/>
      <c r="N116" s="11"/>
      <c r="O116" s="11">
        <f t="shared" si="1"/>
        <v>0</v>
      </c>
      <c r="P116" s="14"/>
      <c r="Q116" s="13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1"/>
      <c r="M117" s="11"/>
      <c r="N117" s="11"/>
      <c r="O117" s="11">
        <f t="shared" si="1"/>
        <v>0</v>
      </c>
      <c r="P117" s="14"/>
      <c r="Q117" s="13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1"/>
      <c r="M118" s="11"/>
      <c r="N118" s="11"/>
      <c r="O118" s="11">
        <f t="shared" si="1"/>
        <v>0</v>
      </c>
      <c r="P118" s="14"/>
      <c r="Q118" s="13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1"/>
      <c r="M119" s="11"/>
      <c r="N119" s="11"/>
      <c r="O119" s="11">
        <f t="shared" si="1"/>
        <v>0</v>
      </c>
      <c r="P119" s="14"/>
      <c r="Q119" s="13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1"/>
      <c r="M120" s="11"/>
      <c r="N120" s="11"/>
      <c r="O120" s="11">
        <f t="shared" si="1"/>
        <v>0</v>
      </c>
      <c r="P120" s="14"/>
      <c r="Q120" s="13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1"/>
      <c r="M121" s="11"/>
      <c r="N121" s="11"/>
      <c r="O121" s="11">
        <f t="shared" si="1"/>
        <v>0</v>
      </c>
      <c r="P121" s="14"/>
      <c r="Q121" s="13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1"/>
      <c r="M122" s="11"/>
      <c r="N122" s="11"/>
      <c r="O122" s="11">
        <f t="shared" si="1"/>
        <v>0</v>
      </c>
      <c r="P122" s="14"/>
      <c r="Q122" s="13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1"/>
      <c r="M123" s="11"/>
      <c r="N123" s="11"/>
      <c r="O123" s="11">
        <f t="shared" si="1"/>
        <v>0</v>
      </c>
      <c r="P123" s="14"/>
      <c r="Q123" s="13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1"/>
      <c r="M124" s="11"/>
      <c r="N124" s="11"/>
      <c r="O124" s="11">
        <f t="shared" si="1"/>
        <v>0</v>
      </c>
      <c r="P124" s="14"/>
      <c r="Q124" s="13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1"/>
      <c r="M125" s="11"/>
      <c r="N125" s="11"/>
      <c r="O125" s="11">
        <f t="shared" si="1"/>
        <v>0</v>
      </c>
      <c r="P125" s="14"/>
      <c r="Q125" s="13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1"/>
      <c r="M126" s="11"/>
      <c r="N126" s="11"/>
      <c r="O126" s="11">
        <f t="shared" si="1"/>
        <v>0</v>
      </c>
      <c r="P126" s="14"/>
      <c r="Q126" s="13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1"/>
      <c r="M127" s="11"/>
      <c r="N127" s="11"/>
      <c r="O127" s="11">
        <f t="shared" si="1"/>
        <v>0</v>
      </c>
      <c r="P127" s="14"/>
      <c r="Q127" s="13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1"/>
      <c r="M128" s="11"/>
      <c r="N128" s="11"/>
      <c r="O128" s="11">
        <f t="shared" si="1"/>
        <v>0</v>
      </c>
      <c r="P128" s="14"/>
      <c r="Q128" s="13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1"/>
      <c r="M129" s="11"/>
      <c r="N129" s="11"/>
      <c r="O129" s="11">
        <f t="shared" si="1"/>
        <v>0</v>
      </c>
      <c r="P129" s="14"/>
      <c r="Q129" s="13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1"/>
      <c r="M130" s="11"/>
      <c r="N130" s="11"/>
      <c r="O130" s="11">
        <f t="shared" si="1"/>
        <v>0</v>
      </c>
      <c r="P130" s="14"/>
      <c r="Q130" s="13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1"/>
      <c r="M131" s="11"/>
      <c r="N131" s="11"/>
      <c r="O131" s="11">
        <f t="shared" si="1"/>
        <v>0</v>
      </c>
      <c r="P131" s="14"/>
      <c r="Q131" s="13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1"/>
      <c r="M132" s="11"/>
      <c r="N132" s="11"/>
      <c r="O132" s="11">
        <f t="shared" si="1"/>
        <v>0</v>
      </c>
      <c r="P132" s="14"/>
      <c r="Q132" s="13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1"/>
      <c r="M133" s="11"/>
      <c r="N133" s="11"/>
      <c r="O133" s="11">
        <f t="shared" si="1"/>
        <v>0</v>
      </c>
      <c r="P133" s="14"/>
      <c r="Q133" s="13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1"/>
      <c r="M134" s="11"/>
      <c r="N134" s="11"/>
      <c r="O134" s="11">
        <f t="shared" si="1"/>
        <v>0</v>
      </c>
      <c r="P134" s="14"/>
      <c r="Q134" s="13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1"/>
      <c r="M135" s="11"/>
      <c r="N135" s="11"/>
      <c r="O135" s="11">
        <f t="shared" si="1"/>
        <v>0</v>
      </c>
      <c r="P135" s="14"/>
      <c r="Q135" s="13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1"/>
      <c r="M136" s="11"/>
      <c r="N136" s="11"/>
      <c r="O136" s="11">
        <f t="shared" si="1"/>
        <v>0</v>
      </c>
      <c r="P136" s="14"/>
      <c r="Q136" s="13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1"/>
      <c r="M137" s="11"/>
      <c r="N137" s="11"/>
      <c r="O137" s="11">
        <f t="shared" si="1"/>
        <v>0</v>
      </c>
      <c r="P137" s="14"/>
      <c r="Q137" s="13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1"/>
      <c r="M138" s="11"/>
      <c r="N138" s="11"/>
      <c r="O138" s="11">
        <f t="shared" si="1"/>
        <v>0</v>
      </c>
      <c r="P138" s="14"/>
      <c r="Q138" s="13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1"/>
      <c r="M139" s="11"/>
      <c r="N139" s="11"/>
      <c r="O139" s="11">
        <f t="shared" si="1"/>
        <v>0</v>
      </c>
      <c r="P139" s="14"/>
      <c r="Q139" s="13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1"/>
      <c r="M140" s="11"/>
      <c r="N140" s="11"/>
      <c r="O140" s="11">
        <f t="shared" si="1"/>
        <v>0</v>
      </c>
      <c r="P140" s="14"/>
      <c r="Q140" s="13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1"/>
      <c r="M141" s="11"/>
      <c r="N141" s="11"/>
      <c r="O141" s="11">
        <f t="shared" si="1"/>
        <v>0</v>
      </c>
      <c r="P141" s="14"/>
      <c r="Q141" s="13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1"/>
      <c r="M142" s="11"/>
      <c r="N142" s="11"/>
      <c r="O142" s="11">
        <f t="shared" si="1"/>
        <v>0</v>
      </c>
      <c r="P142" s="14"/>
      <c r="Q142" s="13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1"/>
      <c r="M143" s="11"/>
      <c r="N143" s="11"/>
      <c r="O143" s="11">
        <f t="shared" si="1"/>
        <v>0</v>
      </c>
      <c r="P143" s="14"/>
      <c r="Q143" s="13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1"/>
      <c r="M144" s="11"/>
      <c r="N144" s="11"/>
      <c r="O144" s="11">
        <f t="shared" si="1"/>
        <v>0</v>
      </c>
      <c r="P144" s="14"/>
      <c r="Q144" s="13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1"/>
      <c r="M145" s="11"/>
      <c r="N145" s="11"/>
      <c r="O145" s="11">
        <f t="shared" si="1"/>
        <v>0</v>
      </c>
      <c r="P145" s="14"/>
      <c r="Q145" s="13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1"/>
      <c r="M146" s="11"/>
      <c r="N146" s="11"/>
      <c r="O146" s="11">
        <f t="shared" si="1"/>
        <v>0</v>
      </c>
      <c r="P146" s="14"/>
      <c r="Q146" s="13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1"/>
      <c r="M147" s="11"/>
      <c r="N147" s="11"/>
      <c r="O147" s="11">
        <f t="shared" si="1"/>
        <v>0</v>
      </c>
      <c r="P147" s="14"/>
      <c r="Q147" s="13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1"/>
      <c r="M148" s="11"/>
      <c r="N148" s="11"/>
      <c r="O148" s="11">
        <f t="shared" si="1"/>
        <v>0</v>
      </c>
      <c r="P148" s="14"/>
      <c r="Q148" s="13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1"/>
      <c r="M149" s="11"/>
      <c r="N149" s="11"/>
      <c r="O149" s="11">
        <f t="shared" si="1"/>
        <v>0</v>
      </c>
      <c r="P149" s="14"/>
      <c r="Q149" s="13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1"/>
      <c r="M150" s="11"/>
      <c r="N150" s="11"/>
      <c r="O150" s="11">
        <f t="shared" si="1"/>
        <v>0</v>
      </c>
      <c r="P150" s="14"/>
      <c r="Q150" s="13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1"/>
      <c r="M151" s="11"/>
      <c r="N151" s="11"/>
      <c r="O151" s="11">
        <f t="shared" si="1"/>
        <v>0</v>
      </c>
      <c r="P151" s="14"/>
      <c r="Q151" s="13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1"/>
      <c r="M152" s="11"/>
      <c r="N152" s="11"/>
      <c r="O152" s="11">
        <f t="shared" si="1"/>
        <v>0</v>
      </c>
      <c r="P152" s="14"/>
      <c r="Q152" s="13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1"/>
      <c r="M153" s="11"/>
      <c r="N153" s="11"/>
      <c r="O153" s="11">
        <f t="shared" si="1"/>
        <v>0</v>
      </c>
      <c r="P153" s="14"/>
      <c r="Q153" s="13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1"/>
      <c r="M154" s="11"/>
      <c r="N154" s="11"/>
      <c r="O154" s="11">
        <f t="shared" si="1"/>
        <v>0</v>
      </c>
      <c r="P154" s="14"/>
      <c r="Q154" s="13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1"/>
      <c r="M155" s="11"/>
      <c r="N155" s="11"/>
      <c r="O155" s="11">
        <f t="shared" si="1"/>
        <v>0</v>
      </c>
      <c r="P155" s="14"/>
      <c r="Q155" s="13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1"/>
      <c r="M156" s="11"/>
      <c r="N156" s="11"/>
      <c r="O156" s="11">
        <f t="shared" si="1"/>
        <v>0</v>
      </c>
      <c r="P156" s="14"/>
      <c r="Q156" s="13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1"/>
      <c r="M157" s="11"/>
      <c r="N157" s="11"/>
      <c r="O157" s="11">
        <f t="shared" si="1"/>
        <v>0</v>
      </c>
      <c r="P157" s="14"/>
      <c r="Q157" s="13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1"/>
      <c r="M158" s="11"/>
      <c r="N158" s="11"/>
      <c r="O158" s="11">
        <f t="shared" si="1"/>
        <v>0</v>
      </c>
      <c r="P158" s="14"/>
      <c r="Q158" s="13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1"/>
      <c r="M159" s="11"/>
      <c r="N159" s="11"/>
      <c r="O159" s="11">
        <f t="shared" si="1"/>
        <v>0</v>
      </c>
      <c r="P159" s="14"/>
      <c r="Q159" s="13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1"/>
      <c r="M160" s="11"/>
      <c r="N160" s="11"/>
      <c r="O160" s="11">
        <f t="shared" si="1"/>
        <v>0</v>
      </c>
      <c r="P160" s="14"/>
      <c r="Q160" s="13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1"/>
      <c r="M161" s="11"/>
      <c r="N161" s="11"/>
      <c r="O161" s="11">
        <f t="shared" si="1"/>
        <v>0</v>
      </c>
      <c r="P161" s="14"/>
      <c r="Q161" s="13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1"/>
      <c r="M162" s="11"/>
      <c r="N162" s="11"/>
      <c r="O162" s="11">
        <f t="shared" si="1"/>
        <v>0</v>
      </c>
      <c r="P162" s="14"/>
      <c r="Q162" s="13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1"/>
      <c r="M163" s="11"/>
      <c r="N163" s="11"/>
      <c r="O163" s="11">
        <f t="shared" si="1"/>
        <v>0</v>
      </c>
      <c r="P163" s="14"/>
      <c r="Q163" s="13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1"/>
      <c r="M164" s="11"/>
      <c r="N164" s="11"/>
      <c r="O164" s="11">
        <f t="shared" si="1"/>
        <v>0</v>
      </c>
      <c r="P164" s="14"/>
      <c r="Q164" s="13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1"/>
      <c r="M165" s="11"/>
      <c r="N165" s="11"/>
      <c r="O165" s="11">
        <f t="shared" si="1"/>
        <v>0</v>
      </c>
      <c r="P165" s="14"/>
      <c r="Q165" s="13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1"/>
      <c r="M166" s="11"/>
      <c r="N166" s="11"/>
      <c r="O166" s="11">
        <f t="shared" si="1"/>
        <v>0</v>
      </c>
      <c r="P166" s="14"/>
      <c r="Q166" s="13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1"/>
      <c r="M167" s="11"/>
      <c r="N167" s="11"/>
      <c r="O167" s="11">
        <f t="shared" si="1"/>
        <v>0</v>
      </c>
      <c r="P167" s="14"/>
      <c r="Q167" s="13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1"/>
      <c r="M168" s="11"/>
      <c r="N168" s="11"/>
      <c r="O168" s="11">
        <f t="shared" si="1"/>
        <v>0</v>
      </c>
      <c r="P168" s="14"/>
      <c r="Q168" s="13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1"/>
      <c r="M169" s="11"/>
      <c r="N169" s="11"/>
      <c r="O169" s="11">
        <f t="shared" si="1"/>
        <v>0</v>
      </c>
      <c r="P169" s="14"/>
      <c r="Q169" s="13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1"/>
      <c r="M170" s="11"/>
      <c r="N170" s="11"/>
      <c r="O170" s="11">
        <f t="shared" si="1"/>
        <v>0</v>
      </c>
      <c r="P170" s="14"/>
      <c r="Q170" s="13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1"/>
      <c r="M171" s="11"/>
      <c r="N171" s="11"/>
      <c r="O171" s="11">
        <f t="shared" si="1"/>
        <v>0</v>
      </c>
      <c r="P171" s="14"/>
      <c r="Q171" s="13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1"/>
      <c r="M172" s="11"/>
      <c r="N172" s="11"/>
      <c r="O172" s="11">
        <f t="shared" si="1"/>
        <v>0</v>
      </c>
      <c r="P172" s="14"/>
      <c r="Q172" s="13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1"/>
      <c r="M173" s="11"/>
      <c r="N173" s="11"/>
      <c r="O173" s="11">
        <f t="shared" si="1"/>
        <v>0</v>
      </c>
      <c r="P173" s="14"/>
      <c r="Q173" s="13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1"/>
      <c r="M174" s="11"/>
      <c r="N174" s="11"/>
      <c r="O174" s="11">
        <f t="shared" si="1"/>
        <v>0</v>
      </c>
      <c r="P174" s="14"/>
      <c r="Q174" s="13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1"/>
      <c r="M175" s="11"/>
      <c r="N175" s="11"/>
      <c r="O175" s="11">
        <f t="shared" si="1"/>
        <v>0</v>
      </c>
      <c r="P175" s="14"/>
      <c r="Q175" s="13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1"/>
      <c r="M176" s="11"/>
      <c r="N176" s="11"/>
      <c r="O176" s="11">
        <f t="shared" si="1"/>
        <v>0</v>
      </c>
      <c r="P176" s="14"/>
      <c r="Q176" s="13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1"/>
      <c r="M177" s="11"/>
      <c r="N177" s="11"/>
      <c r="O177" s="11">
        <f t="shared" si="1"/>
        <v>0</v>
      </c>
      <c r="P177" s="14"/>
      <c r="Q177" s="13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1"/>
      <c r="M178" s="11"/>
      <c r="N178" s="11"/>
      <c r="O178" s="11">
        <f t="shared" si="1"/>
        <v>0</v>
      </c>
      <c r="P178" s="14"/>
      <c r="Q178" s="13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1"/>
      <c r="M179" s="11"/>
      <c r="N179" s="11"/>
      <c r="O179" s="11">
        <f t="shared" si="1"/>
        <v>0</v>
      </c>
      <c r="P179" s="14"/>
      <c r="Q179" s="13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1"/>
      <c r="M180" s="11"/>
      <c r="N180" s="11"/>
      <c r="O180" s="11">
        <f t="shared" si="1"/>
        <v>0</v>
      </c>
      <c r="P180" s="14"/>
      <c r="Q180" s="13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1"/>
      <c r="M181" s="11"/>
      <c r="N181" s="11"/>
      <c r="O181" s="11">
        <f t="shared" si="1"/>
        <v>0</v>
      </c>
      <c r="P181" s="14"/>
      <c r="Q181" s="13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1"/>
      <c r="M182" s="11"/>
      <c r="N182" s="11"/>
      <c r="O182" s="11">
        <f t="shared" si="1"/>
        <v>0</v>
      </c>
      <c r="P182" s="14"/>
      <c r="Q182" s="13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1"/>
      <c r="M183" s="11"/>
      <c r="N183" s="11"/>
      <c r="O183" s="11">
        <f t="shared" si="1"/>
        <v>0</v>
      </c>
      <c r="P183" s="14"/>
      <c r="Q183" s="13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1"/>
      <c r="M184" s="11"/>
      <c r="N184" s="11"/>
      <c r="O184" s="11">
        <f t="shared" si="1"/>
        <v>0</v>
      </c>
      <c r="P184" s="14"/>
      <c r="Q184" s="13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1"/>
      <c r="M185" s="11"/>
      <c r="N185" s="11"/>
      <c r="O185" s="11">
        <f t="shared" si="1"/>
        <v>0</v>
      </c>
      <c r="P185" s="14"/>
      <c r="Q185" s="13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1"/>
      <c r="M186" s="11"/>
      <c r="N186" s="11"/>
      <c r="O186" s="11">
        <f t="shared" si="1"/>
        <v>0</v>
      </c>
      <c r="P186" s="14"/>
      <c r="Q186" s="13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1"/>
      <c r="M187" s="11"/>
      <c r="N187" s="11"/>
      <c r="O187" s="11">
        <f t="shared" si="1"/>
        <v>0</v>
      </c>
      <c r="P187" s="14"/>
      <c r="Q187" s="13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1"/>
      <c r="M188" s="11"/>
      <c r="N188" s="11"/>
      <c r="O188" s="11">
        <f t="shared" si="1"/>
        <v>0</v>
      </c>
      <c r="P188" s="14"/>
      <c r="Q188" s="13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1"/>
      <c r="M189" s="11"/>
      <c r="N189" s="11"/>
      <c r="O189" s="11">
        <f t="shared" si="1"/>
        <v>0</v>
      </c>
      <c r="P189" s="14"/>
      <c r="Q189" s="13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1"/>
      <c r="M190" s="11"/>
      <c r="N190" s="11"/>
      <c r="O190" s="11">
        <f t="shared" si="1"/>
        <v>0</v>
      </c>
      <c r="P190" s="14"/>
      <c r="Q190" s="13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1"/>
      <c r="M191" s="11"/>
      <c r="N191" s="11"/>
      <c r="O191" s="11">
        <f t="shared" si="1"/>
        <v>0</v>
      </c>
      <c r="P191" s="14"/>
      <c r="Q191" s="13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1"/>
      <c r="M192" s="11"/>
      <c r="N192" s="11"/>
      <c r="O192" s="11">
        <f t="shared" si="1"/>
        <v>0</v>
      </c>
      <c r="P192" s="14"/>
      <c r="Q192" s="13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1"/>
      <c r="M193" s="11"/>
      <c r="N193" s="11"/>
      <c r="O193" s="11">
        <f t="shared" si="1"/>
        <v>0</v>
      </c>
      <c r="P193" s="14"/>
      <c r="Q193" s="13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1"/>
      <c r="M194" s="11"/>
      <c r="N194" s="11"/>
      <c r="O194" s="11">
        <f t="shared" si="1"/>
        <v>0</v>
      </c>
      <c r="P194" s="14"/>
      <c r="Q194" s="13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1"/>
      <c r="M195" s="11"/>
      <c r="N195" s="11"/>
      <c r="O195" s="11">
        <f t="shared" si="1"/>
        <v>0</v>
      </c>
      <c r="P195" s="14"/>
      <c r="Q195" s="13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1"/>
      <c r="M196" s="11"/>
      <c r="N196" s="11"/>
      <c r="O196" s="11">
        <f t="shared" si="1"/>
        <v>0</v>
      </c>
      <c r="P196" s="14"/>
      <c r="Q196" s="13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1"/>
      <c r="M197" s="11"/>
      <c r="N197" s="11"/>
      <c r="O197" s="11">
        <f t="shared" si="1"/>
        <v>0</v>
      </c>
      <c r="P197" s="14"/>
      <c r="Q197" s="13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1"/>
      <c r="M198" s="11"/>
      <c r="N198" s="11"/>
      <c r="O198" s="11">
        <f t="shared" si="1"/>
        <v>0</v>
      </c>
      <c r="P198" s="14"/>
      <c r="Q198" s="13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1"/>
      <c r="M199" s="11"/>
      <c r="N199" s="11"/>
      <c r="O199" s="11">
        <f t="shared" si="1"/>
        <v>0</v>
      </c>
      <c r="P199" s="14"/>
      <c r="Q199" s="13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1"/>
      <c r="M200" s="11"/>
      <c r="N200" s="11"/>
      <c r="O200" s="11">
        <f t="shared" si="1"/>
        <v>0</v>
      </c>
      <c r="P200" s="14"/>
      <c r="Q200" s="13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1"/>
      <c r="M201" s="11"/>
      <c r="N201" s="11"/>
      <c r="O201" s="11">
        <f t="shared" si="1"/>
        <v>0</v>
      </c>
      <c r="P201" s="14"/>
      <c r="Q201" s="13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1"/>
      <c r="M202" s="11"/>
      <c r="N202" s="11"/>
      <c r="O202" s="11">
        <f t="shared" si="1"/>
        <v>0</v>
      </c>
      <c r="P202" s="14"/>
      <c r="Q202" s="13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1"/>
      <c r="M203" s="11"/>
      <c r="N203" s="11"/>
      <c r="O203" s="11">
        <f t="shared" si="1"/>
        <v>0</v>
      </c>
      <c r="P203" s="14"/>
      <c r="Q203" s="13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1"/>
      <c r="M204" s="11"/>
      <c r="N204" s="11"/>
      <c r="O204" s="11">
        <f t="shared" si="1"/>
        <v>0</v>
      </c>
      <c r="P204" s="14"/>
      <c r="Q204" s="13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1"/>
      <c r="M205" s="11"/>
      <c r="N205" s="11"/>
      <c r="O205" s="11">
        <f t="shared" si="1"/>
        <v>0</v>
      </c>
      <c r="P205" s="14"/>
      <c r="Q205" s="13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1"/>
      <c r="M206" s="11"/>
      <c r="N206" s="11"/>
      <c r="O206" s="11">
        <f t="shared" si="1"/>
        <v>0</v>
      </c>
      <c r="P206" s="14"/>
      <c r="Q206" s="13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1"/>
      <c r="M207" s="11"/>
      <c r="N207" s="11"/>
      <c r="O207" s="11">
        <f t="shared" si="1"/>
        <v>0</v>
      </c>
      <c r="P207" s="14"/>
      <c r="Q207" s="13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1"/>
      <c r="M208" s="11"/>
      <c r="N208" s="11"/>
      <c r="O208" s="11">
        <f t="shared" si="1"/>
        <v>0</v>
      </c>
      <c r="P208" s="14"/>
      <c r="Q208" s="13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1"/>
      <c r="M209" s="11"/>
      <c r="N209" s="11"/>
      <c r="O209" s="11">
        <f t="shared" si="1"/>
        <v>0</v>
      </c>
      <c r="P209" s="14"/>
      <c r="Q209" s="13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1"/>
      <c r="M210" s="11"/>
      <c r="N210" s="11"/>
      <c r="O210" s="11">
        <f t="shared" si="1"/>
        <v>0</v>
      </c>
      <c r="P210" s="14"/>
      <c r="Q210" s="13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1"/>
      <c r="M211" s="11"/>
      <c r="N211" s="11"/>
      <c r="O211" s="11">
        <f t="shared" si="1"/>
        <v>0</v>
      </c>
      <c r="P211" s="14"/>
      <c r="Q211" s="13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1"/>
      <c r="M212" s="11"/>
      <c r="N212" s="11"/>
      <c r="O212" s="11">
        <f t="shared" si="1"/>
        <v>0</v>
      </c>
      <c r="P212" s="14"/>
      <c r="Q212" s="13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1"/>
      <c r="M213" s="11"/>
      <c r="N213" s="11"/>
      <c r="O213" s="11">
        <f t="shared" si="1"/>
        <v>0</v>
      </c>
      <c r="P213" s="14"/>
      <c r="Q213" s="13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1"/>
      <c r="M214" s="11"/>
      <c r="N214" s="11"/>
      <c r="O214" s="11">
        <f t="shared" si="1"/>
        <v>0</v>
      </c>
      <c r="P214" s="14"/>
      <c r="Q214" s="13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1"/>
      <c r="M215" s="11"/>
      <c r="N215" s="11"/>
      <c r="O215" s="11">
        <f t="shared" si="1"/>
        <v>0</v>
      </c>
      <c r="P215" s="14"/>
      <c r="Q215" s="13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1"/>
      <c r="M216" s="11"/>
      <c r="N216" s="11"/>
      <c r="O216" s="11">
        <f t="shared" si="1"/>
        <v>0</v>
      </c>
      <c r="P216" s="14"/>
      <c r="Q216" s="13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1"/>
      <c r="M217" s="11"/>
      <c r="N217" s="11"/>
      <c r="O217" s="11">
        <f t="shared" si="1"/>
        <v>0</v>
      </c>
      <c r="P217" s="14"/>
      <c r="Q217" s="13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1"/>
      <c r="M218" s="11"/>
      <c r="N218" s="11"/>
      <c r="O218" s="11">
        <f t="shared" si="1"/>
        <v>0</v>
      </c>
      <c r="P218" s="14"/>
      <c r="Q218" s="13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1"/>
      <c r="M219" s="11"/>
      <c r="N219" s="11"/>
      <c r="O219" s="11">
        <f t="shared" si="1"/>
        <v>0</v>
      </c>
      <c r="P219" s="14"/>
      <c r="Q219" s="13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1"/>
      <c r="M220" s="11"/>
      <c r="N220" s="11"/>
      <c r="O220" s="11">
        <f t="shared" si="1"/>
        <v>0</v>
      </c>
      <c r="P220" s="14"/>
      <c r="Q220" s="13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1"/>
      <c r="M221" s="11"/>
      <c r="N221" s="11"/>
      <c r="O221" s="11">
        <f t="shared" si="1"/>
        <v>0</v>
      </c>
      <c r="P221" s="14"/>
      <c r="Q221" s="13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1"/>
      <c r="M222" s="11"/>
      <c r="N222" s="11"/>
      <c r="O222" s="11">
        <f t="shared" si="1"/>
        <v>0</v>
      </c>
      <c r="P222" s="14"/>
      <c r="Q222" s="13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1"/>
      <c r="M223" s="11"/>
      <c r="N223" s="11"/>
      <c r="O223" s="11">
        <f t="shared" si="1"/>
        <v>0</v>
      </c>
      <c r="P223" s="14"/>
      <c r="Q223" s="13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1"/>
      <c r="M224" s="11"/>
      <c r="N224" s="11"/>
      <c r="O224" s="11">
        <f t="shared" si="1"/>
        <v>0</v>
      </c>
      <c r="P224" s="14"/>
      <c r="Q224" s="13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1"/>
      <c r="M225" s="11"/>
      <c r="N225" s="11"/>
      <c r="O225" s="11">
        <f t="shared" si="1"/>
        <v>0</v>
      </c>
      <c r="P225" s="14"/>
      <c r="Q225" s="13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1"/>
      <c r="M226" s="11"/>
      <c r="N226" s="11"/>
      <c r="O226" s="11">
        <f t="shared" si="1"/>
        <v>0</v>
      </c>
      <c r="P226" s="14"/>
      <c r="Q226" s="13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1"/>
      <c r="M227" s="11"/>
      <c r="N227" s="11"/>
      <c r="O227" s="11">
        <f t="shared" si="1"/>
        <v>0</v>
      </c>
      <c r="P227" s="14"/>
      <c r="Q227" s="13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1"/>
      <c r="M228" s="11"/>
      <c r="N228" s="11"/>
      <c r="O228" s="11">
        <f t="shared" si="1"/>
        <v>0</v>
      </c>
      <c r="P228" s="14"/>
      <c r="Q228" s="13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1"/>
      <c r="M229" s="11"/>
      <c r="N229" s="11"/>
      <c r="O229" s="11">
        <f t="shared" si="1"/>
        <v>0</v>
      </c>
      <c r="P229" s="14"/>
      <c r="Q229" s="13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1"/>
      <c r="M230" s="11"/>
      <c r="N230" s="11"/>
      <c r="O230" s="11">
        <f t="shared" si="1"/>
        <v>0</v>
      </c>
      <c r="P230" s="14"/>
      <c r="Q230" s="13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1"/>
      <c r="M231" s="11"/>
      <c r="N231" s="11"/>
      <c r="O231" s="11">
        <f t="shared" si="1"/>
        <v>0</v>
      </c>
      <c r="P231" s="14"/>
      <c r="Q231" s="13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1"/>
      <c r="M232" s="11"/>
      <c r="N232" s="11"/>
      <c r="O232" s="11">
        <f t="shared" si="1"/>
        <v>0</v>
      </c>
      <c r="P232" s="14"/>
      <c r="Q232" s="13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1"/>
      <c r="M233" s="11"/>
      <c r="N233" s="11"/>
      <c r="O233" s="11">
        <f t="shared" si="1"/>
        <v>0</v>
      </c>
      <c r="P233" s="14"/>
      <c r="Q233" s="13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1"/>
      <c r="M234" s="11"/>
      <c r="N234" s="11"/>
      <c r="O234" s="11">
        <f t="shared" si="1"/>
        <v>0</v>
      </c>
      <c r="P234" s="14"/>
      <c r="Q234" s="13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1"/>
      <c r="M235" s="11"/>
      <c r="N235" s="11"/>
      <c r="O235" s="11">
        <f t="shared" si="1"/>
        <v>0</v>
      </c>
      <c r="P235" s="14"/>
      <c r="Q235" s="13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1"/>
      <c r="M236" s="11"/>
      <c r="N236" s="11"/>
      <c r="O236" s="11">
        <f t="shared" si="1"/>
        <v>0</v>
      </c>
      <c r="P236" s="14"/>
      <c r="Q236" s="13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1"/>
      <c r="M237" s="11"/>
      <c r="N237" s="11"/>
      <c r="O237" s="11">
        <f t="shared" si="1"/>
        <v>0</v>
      </c>
      <c r="P237" s="14"/>
      <c r="Q237" s="13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1"/>
      <c r="M238" s="11"/>
      <c r="N238" s="11"/>
      <c r="O238" s="11">
        <f t="shared" si="1"/>
        <v>0</v>
      </c>
      <c r="P238" s="14"/>
      <c r="Q238" s="13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1"/>
      <c r="M239" s="11"/>
      <c r="N239" s="11"/>
      <c r="O239" s="11">
        <f t="shared" si="1"/>
        <v>0</v>
      </c>
      <c r="P239" s="14"/>
      <c r="Q239" s="13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1"/>
      <c r="M240" s="11"/>
      <c r="N240" s="11"/>
      <c r="O240" s="11">
        <f t="shared" si="1"/>
        <v>0</v>
      </c>
      <c r="P240" s="14"/>
      <c r="Q240" s="13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1"/>
      <c r="M241" s="11"/>
      <c r="N241" s="11"/>
      <c r="O241" s="11">
        <f t="shared" si="1"/>
        <v>0</v>
      </c>
      <c r="P241" s="14"/>
      <c r="Q241" s="13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1"/>
      <c r="M242" s="11"/>
      <c r="N242" s="11"/>
      <c r="O242" s="11">
        <f t="shared" si="1"/>
        <v>0</v>
      </c>
      <c r="P242" s="14"/>
      <c r="Q242" s="13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1"/>
      <c r="M243" s="11"/>
      <c r="N243" s="11"/>
      <c r="O243" s="11">
        <f t="shared" si="1"/>
        <v>0</v>
      </c>
      <c r="P243" s="14"/>
      <c r="Q243" s="13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1"/>
      <c r="M244" s="11"/>
      <c r="N244" s="11"/>
      <c r="O244" s="11">
        <f t="shared" si="1"/>
        <v>0</v>
      </c>
      <c r="P244" s="14"/>
      <c r="Q244" s="13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1"/>
      <c r="M245" s="11"/>
      <c r="N245" s="11"/>
      <c r="O245" s="11">
        <f t="shared" si="1"/>
        <v>0</v>
      </c>
      <c r="P245" s="14"/>
      <c r="Q245" s="13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1"/>
      <c r="M246" s="11"/>
      <c r="N246" s="11"/>
      <c r="O246" s="11">
        <f t="shared" si="1"/>
        <v>0</v>
      </c>
      <c r="P246" s="14"/>
      <c r="Q246" s="13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1"/>
      <c r="M247" s="11"/>
      <c r="N247" s="11"/>
      <c r="O247" s="11">
        <f t="shared" si="1"/>
        <v>0</v>
      </c>
      <c r="P247" s="14"/>
      <c r="Q247" s="13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1"/>
      <c r="M248" s="11"/>
      <c r="N248" s="11"/>
      <c r="O248" s="11">
        <f t="shared" si="1"/>
        <v>0</v>
      </c>
      <c r="P248" s="14"/>
      <c r="Q248" s="13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1"/>
      <c r="M249" s="11"/>
      <c r="N249" s="11"/>
      <c r="O249" s="11">
        <f t="shared" si="1"/>
        <v>0</v>
      </c>
      <c r="P249" s="14"/>
      <c r="Q249" s="13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1"/>
      <c r="M250" s="11"/>
      <c r="N250" s="11"/>
      <c r="O250" s="11">
        <f t="shared" si="1"/>
        <v>0</v>
      </c>
      <c r="P250" s="14"/>
      <c r="Q250" s="13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1"/>
      <c r="M251" s="11"/>
      <c r="N251" s="11"/>
      <c r="O251" s="11">
        <f t="shared" si="1"/>
        <v>0</v>
      </c>
      <c r="P251" s="14"/>
      <c r="Q251" s="13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1"/>
      <c r="M252" s="11"/>
      <c r="N252" s="11"/>
      <c r="O252" s="11">
        <f t="shared" si="1"/>
        <v>0</v>
      </c>
      <c r="P252" s="14"/>
      <c r="Q252" s="13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1"/>
      <c r="M253" s="11"/>
      <c r="N253" s="11"/>
      <c r="O253" s="11">
        <f t="shared" si="1"/>
        <v>0</v>
      </c>
      <c r="P253" s="14"/>
      <c r="Q253" s="13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1"/>
      <c r="M254" s="11"/>
      <c r="N254" s="11"/>
      <c r="O254" s="11">
        <f t="shared" si="1"/>
        <v>0</v>
      </c>
      <c r="P254" s="14"/>
      <c r="Q254" s="13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1"/>
      <c r="M255" s="11"/>
      <c r="N255" s="11"/>
      <c r="O255" s="11">
        <f t="shared" si="1"/>
        <v>0</v>
      </c>
      <c r="P255" s="14"/>
      <c r="Q255" s="13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1"/>
      <c r="M256" s="11"/>
      <c r="N256" s="11"/>
      <c r="O256" s="11">
        <f t="shared" si="1"/>
        <v>0</v>
      </c>
      <c r="P256" s="14"/>
      <c r="Q256" s="13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1"/>
      <c r="M257" s="11"/>
      <c r="N257" s="11"/>
      <c r="O257" s="11">
        <f t="shared" si="1"/>
        <v>0</v>
      </c>
      <c r="P257" s="14"/>
      <c r="Q257" s="13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1"/>
      <c r="M258" s="11"/>
      <c r="N258" s="11"/>
      <c r="O258" s="11">
        <f t="shared" si="1"/>
        <v>0</v>
      </c>
      <c r="P258" s="14"/>
      <c r="Q258" s="13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1"/>
      <c r="M259" s="11"/>
      <c r="N259" s="11"/>
      <c r="O259" s="11">
        <f t="shared" si="1"/>
        <v>0</v>
      </c>
      <c r="P259" s="14"/>
      <c r="Q259" s="13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1"/>
      <c r="M260" s="11"/>
      <c r="N260" s="11"/>
      <c r="O260" s="11">
        <f t="shared" si="1"/>
        <v>0</v>
      </c>
      <c r="P260" s="14"/>
      <c r="Q260" s="13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1"/>
      <c r="M261" s="11"/>
      <c r="N261" s="11"/>
      <c r="O261" s="11">
        <f t="shared" si="1"/>
        <v>0</v>
      </c>
      <c r="P261" s="14"/>
      <c r="Q261" s="13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1"/>
      <c r="M262" s="11"/>
      <c r="N262" s="11"/>
      <c r="O262" s="11">
        <f t="shared" si="1"/>
        <v>0</v>
      </c>
      <c r="P262" s="14"/>
      <c r="Q262" s="13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1"/>
      <c r="M263" s="11"/>
      <c r="N263" s="11"/>
      <c r="O263" s="11">
        <f t="shared" si="1"/>
        <v>0</v>
      </c>
      <c r="P263" s="14"/>
      <c r="Q263" s="13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1"/>
      <c r="M264" s="11"/>
      <c r="N264" s="11"/>
      <c r="O264" s="11">
        <f t="shared" si="1"/>
        <v>0</v>
      </c>
      <c r="P264" s="14"/>
      <c r="Q264" s="13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1"/>
      <c r="M265" s="11"/>
      <c r="N265" s="11"/>
      <c r="O265" s="11">
        <f t="shared" si="1"/>
        <v>0</v>
      </c>
      <c r="P265" s="14"/>
      <c r="Q265" s="13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1"/>
      <c r="M266" s="11"/>
      <c r="N266" s="11"/>
      <c r="O266" s="11">
        <f t="shared" si="1"/>
        <v>0</v>
      </c>
      <c r="P266" s="14"/>
      <c r="Q266" s="13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1"/>
      <c r="M267" s="11"/>
      <c r="N267" s="11"/>
      <c r="O267" s="11">
        <f t="shared" si="1"/>
        <v>0</v>
      </c>
      <c r="P267" s="14"/>
      <c r="Q267" s="13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1"/>
      <c r="M268" s="11"/>
      <c r="N268" s="11"/>
      <c r="O268" s="11">
        <f t="shared" si="1"/>
        <v>0</v>
      </c>
      <c r="P268" s="14"/>
      <c r="Q268" s="13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1"/>
      <c r="M269" s="11"/>
      <c r="N269" s="11"/>
      <c r="O269" s="11">
        <f t="shared" si="1"/>
        <v>0</v>
      </c>
      <c r="P269" s="14"/>
      <c r="Q269" s="13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1"/>
      <c r="M270" s="11"/>
      <c r="N270" s="11"/>
      <c r="O270" s="11">
        <f t="shared" si="1"/>
        <v>0</v>
      </c>
      <c r="P270" s="14"/>
      <c r="Q270" s="13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1"/>
      <c r="M271" s="11"/>
      <c r="N271" s="11"/>
      <c r="O271" s="11">
        <f t="shared" si="1"/>
        <v>0</v>
      </c>
      <c r="P271" s="14"/>
      <c r="Q271" s="13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1"/>
      <c r="M272" s="11"/>
      <c r="N272" s="11"/>
      <c r="O272" s="11">
        <f t="shared" si="1"/>
        <v>0</v>
      </c>
      <c r="P272" s="14"/>
      <c r="Q272" s="13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1"/>
      <c r="M273" s="11"/>
      <c r="N273" s="11"/>
      <c r="O273" s="11">
        <f t="shared" si="1"/>
        <v>0</v>
      </c>
      <c r="P273" s="14"/>
      <c r="Q273" s="13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1"/>
      <c r="M274" s="11"/>
      <c r="N274" s="11"/>
      <c r="O274" s="11">
        <f t="shared" si="1"/>
        <v>0</v>
      </c>
      <c r="P274" s="14"/>
      <c r="Q274" s="13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1"/>
      <c r="M275" s="11"/>
      <c r="N275" s="11"/>
      <c r="O275" s="11">
        <f t="shared" si="1"/>
        <v>0</v>
      </c>
      <c r="P275" s="14"/>
      <c r="Q275" s="13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1"/>
      <c r="M276" s="11"/>
      <c r="N276" s="11"/>
      <c r="O276" s="11">
        <f t="shared" si="1"/>
        <v>0</v>
      </c>
      <c r="P276" s="14"/>
      <c r="Q276" s="13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1"/>
      <c r="M277" s="11"/>
      <c r="N277" s="11"/>
      <c r="O277" s="11">
        <f t="shared" si="1"/>
        <v>0</v>
      </c>
      <c r="P277" s="14"/>
      <c r="Q277" s="13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1"/>
      <c r="M278" s="11"/>
      <c r="N278" s="11"/>
      <c r="O278" s="11">
        <f t="shared" si="1"/>
        <v>0</v>
      </c>
      <c r="P278" s="14"/>
      <c r="Q278" s="13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1"/>
      <c r="M279" s="11"/>
      <c r="N279" s="11"/>
      <c r="O279" s="11">
        <f t="shared" si="1"/>
        <v>0</v>
      </c>
      <c r="P279" s="14"/>
      <c r="Q279" s="13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1"/>
      <c r="M280" s="11"/>
      <c r="N280" s="11"/>
      <c r="O280" s="11">
        <f t="shared" si="1"/>
        <v>0</v>
      </c>
      <c r="P280" s="14"/>
      <c r="Q280" s="13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1"/>
      <c r="M281" s="11"/>
      <c r="N281" s="11"/>
      <c r="O281" s="11">
        <f t="shared" si="1"/>
        <v>0</v>
      </c>
      <c r="P281" s="14"/>
      <c r="Q281" s="13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1"/>
      <c r="M282" s="11"/>
      <c r="N282" s="11"/>
      <c r="O282" s="11">
        <f t="shared" si="1"/>
        <v>0</v>
      </c>
      <c r="P282" s="14"/>
      <c r="Q282" s="13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1"/>
      <c r="M283" s="11"/>
      <c r="N283" s="11"/>
      <c r="O283" s="11">
        <f t="shared" si="1"/>
        <v>0</v>
      </c>
      <c r="P283" s="14"/>
      <c r="Q283" s="13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1"/>
      <c r="M284" s="11"/>
      <c r="N284" s="11"/>
      <c r="O284" s="11">
        <f t="shared" si="1"/>
        <v>0</v>
      </c>
      <c r="P284" s="14"/>
      <c r="Q284" s="13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1"/>
      <c r="M285" s="11"/>
      <c r="N285" s="11"/>
      <c r="O285" s="11">
        <f t="shared" si="1"/>
        <v>0</v>
      </c>
      <c r="P285" s="14"/>
      <c r="Q285" s="13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1"/>
      <c r="M286" s="11"/>
      <c r="N286" s="11"/>
      <c r="O286" s="11">
        <f t="shared" si="1"/>
        <v>0</v>
      </c>
      <c r="P286" s="14"/>
      <c r="Q286" s="13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1"/>
      <c r="M287" s="11"/>
      <c r="N287" s="11"/>
      <c r="O287" s="11">
        <f t="shared" si="1"/>
        <v>0</v>
      </c>
      <c r="P287" s="14"/>
      <c r="Q287" s="13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1"/>
      <c r="M288" s="11"/>
      <c r="N288" s="11"/>
      <c r="O288" s="11">
        <f t="shared" si="1"/>
        <v>0</v>
      </c>
      <c r="P288" s="14"/>
      <c r="Q288" s="13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1"/>
      <c r="M289" s="11"/>
      <c r="N289" s="11"/>
      <c r="O289" s="11">
        <f t="shared" si="1"/>
        <v>0</v>
      </c>
      <c r="P289" s="14"/>
      <c r="Q289" s="13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1"/>
      <c r="M290" s="11"/>
      <c r="N290" s="11"/>
      <c r="O290" s="11">
        <f t="shared" si="1"/>
        <v>0</v>
      </c>
      <c r="P290" s="14"/>
      <c r="Q290" s="13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1"/>
      <c r="M291" s="11"/>
      <c r="N291" s="11"/>
      <c r="O291" s="11">
        <f t="shared" si="1"/>
        <v>0</v>
      </c>
      <c r="P291" s="14"/>
      <c r="Q291" s="13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1"/>
      <c r="M292" s="11"/>
      <c r="N292" s="11"/>
      <c r="O292" s="11">
        <f t="shared" si="1"/>
        <v>0</v>
      </c>
      <c r="P292" s="14"/>
      <c r="Q292" s="13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1"/>
      <c r="M293" s="11"/>
      <c r="N293" s="11"/>
      <c r="O293" s="11">
        <f t="shared" si="1"/>
        <v>0</v>
      </c>
      <c r="P293" s="14"/>
      <c r="Q293" s="13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1"/>
      <c r="M294" s="11"/>
      <c r="N294" s="11"/>
      <c r="O294" s="11">
        <f t="shared" si="1"/>
        <v>0</v>
      </c>
      <c r="P294" s="14"/>
      <c r="Q294" s="13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1"/>
      <c r="M295" s="11"/>
      <c r="N295" s="11"/>
      <c r="O295" s="11">
        <f t="shared" si="1"/>
        <v>0</v>
      </c>
      <c r="P295" s="14"/>
      <c r="Q295" s="13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1"/>
      <c r="M296" s="11"/>
      <c r="N296" s="11"/>
      <c r="O296" s="11">
        <f t="shared" si="1"/>
        <v>0</v>
      </c>
      <c r="P296" s="14"/>
      <c r="Q296" s="13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1"/>
      <c r="M297" s="11"/>
      <c r="N297" s="11"/>
      <c r="O297" s="11">
        <f t="shared" si="1"/>
        <v>0</v>
      </c>
      <c r="P297" s="14"/>
      <c r="Q297" s="13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1"/>
      <c r="M298" s="11"/>
      <c r="N298" s="11"/>
      <c r="O298" s="11">
        <f t="shared" si="1"/>
        <v>0</v>
      </c>
      <c r="P298" s="14"/>
      <c r="Q298" s="13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1"/>
      <c r="M299" s="11"/>
      <c r="N299" s="11"/>
      <c r="O299" s="11">
        <f t="shared" si="1"/>
        <v>0</v>
      </c>
      <c r="P299" s="14"/>
      <c r="Q299" s="13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1"/>
      <c r="M300" s="11"/>
      <c r="N300" s="11"/>
      <c r="O300" s="11">
        <f t="shared" si="1"/>
        <v>0</v>
      </c>
      <c r="P300" s="14"/>
      <c r="Q300" s="13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1"/>
      <c r="M301" s="11"/>
      <c r="N301" s="11"/>
      <c r="O301" s="11">
        <f t="shared" si="1"/>
        <v>0</v>
      </c>
      <c r="P301" s="14"/>
      <c r="Q301" s="13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1"/>
      <c r="M302" s="11"/>
      <c r="N302" s="11"/>
      <c r="O302" s="11">
        <f t="shared" si="1"/>
        <v>0</v>
      </c>
      <c r="P302" s="14"/>
      <c r="Q302" s="13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1"/>
      <c r="M303" s="11"/>
      <c r="N303" s="11"/>
      <c r="O303" s="11">
        <f t="shared" si="1"/>
        <v>0</v>
      </c>
      <c r="P303" s="14"/>
      <c r="Q303" s="13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1"/>
      <c r="M304" s="11"/>
      <c r="N304" s="11"/>
      <c r="O304" s="11">
        <f t="shared" si="1"/>
        <v>0</v>
      </c>
      <c r="P304" s="14"/>
      <c r="Q304" s="13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1"/>
      <c r="M305" s="11"/>
      <c r="N305" s="11"/>
      <c r="O305" s="11">
        <f t="shared" si="1"/>
        <v>0</v>
      </c>
      <c r="P305" s="14"/>
      <c r="Q305" s="13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1"/>
      <c r="M306" s="11"/>
      <c r="N306" s="11"/>
      <c r="O306" s="11">
        <f t="shared" si="1"/>
        <v>0</v>
      </c>
      <c r="P306" s="14"/>
      <c r="Q306" s="13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1"/>
      <c r="M307" s="11"/>
      <c r="N307" s="11"/>
      <c r="O307" s="11">
        <f t="shared" si="1"/>
        <v>0</v>
      </c>
      <c r="P307" s="14"/>
      <c r="Q307" s="13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1"/>
      <c r="M308" s="11"/>
      <c r="N308" s="11"/>
      <c r="O308" s="11">
        <f t="shared" si="1"/>
        <v>0</v>
      </c>
      <c r="P308" s="14"/>
      <c r="Q308" s="13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1"/>
      <c r="M309" s="11"/>
      <c r="N309" s="11"/>
      <c r="O309" s="11">
        <f t="shared" si="1"/>
        <v>0</v>
      </c>
      <c r="P309" s="14"/>
      <c r="Q309" s="13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1"/>
      <c r="M310" s="11"/>
      <c r="N310" s="11"/>
      <c r="O310" s="11">
        <f t="shared" si="1"/>
        <v>0</v>
      </c>
      <c r="P310" s="14"/>
      <c r="Q310" s="13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1"/>
      <c r="M311" s="11"/>
      <c r="N311" s="11"/>
      <c r="O311" s="11">
        <f t="shared" si="1"/>
        <v>0</v>
      </c>
      <c r="P311" s="14"/>
      <c r="Q311" s="13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1"/>
      <c r="M312" s="11"/>
      <c r="N312" s="11"/>
      <c r="O312" s="11">
        <f t="shared" si="1"/>
        <v>0</v>
      </c>
      <c r="P312" s="14"/>
      <c r="Q312" s="13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1"/>
      <c r="M313" s="11"/>
      <c r="N313" s="11"/>
      <c r="O313" s="11">
        <f t="shared" si="1"/>
        <v>0</v>
      </c>
      <c r="P313" s="14"/>
      <c r="Q313" s="13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1"/>
      <c r="M314" s="11"/>
      <c r="N314" s="11"/>
      <c r="O314" s="11">
        <f t="shared" si="1"/>
        <v>0</v>
      </c>
      <c r="P314" s="14"/>
      <c r="Q314" s="13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1"/>
      <c r="M315" s="11"/>
      <c r="N315" s="11"/>
      <c r="O315" s="11">
        <f t="shared" si="1"/>
        <v>0</v>
      </c>
      <c r="P315" s="14"/>
      <c r="Q315" s="13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1"/>
      <c r="M316" s="11"/>
      <c r="N316" s="11"/>
      <c r="O316" s="11">
        <f t="shared" si="1"/>
        <v>0</v>
      </c>
      <c r="P316" s="14"/>
      <c r="Q316" s="13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1"/>
      <c r="M317" s="11"/>
      <c r="N317" s="11"/>
      <c r="O317" s="11">
        <f t="shared" si="1"/>
        <v>0</v>
      </c>
      <c r="P317" s="14"/>
      <c r="Q317" s="13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1"/>
      <c r="M318" s="11"/>
      <c r="N318" s="11"/>
      <c r="O318" s="11">
        <f t="shared" si="1"/>
        <v>0</v>
      </c>
      <c r="P318" s="14"/>
      <c r="Q318" s="13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1"/>
      <c r="M319" s="11"/>
      <c r="N319" s="11"/>
      <c r="O319" s="11">
        <f t="shared" si="1"/>
        <v>0</v>
      </c>
      <c r="P319" s="14"/>
      <c r="Q319" s="13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1"/>
      <c r="M320" s="11"/>
      <c r="N320" s="11"/>
      <c r="O320" s="11">
        <f t="shared" si="1"/>
        <v>0</v>
      </c>
      <c r="P320" s="14"/>
      <c r="Q320" s="13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1"/>
      <c r="M321" s="11"/>
      <c r="N321" s="11"/>
      <c r="O321" s="11">
        <f t="shared" si="1"/>
        <v>0</v>
      </c>
      <c r="P321" s="14"/>
      <c r="Q321" s="13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1"/>
      <c r="M322" s="11"/>
      <c r="N322" s="11"/>
      <c r="O322" s="11">
        <f t="shared" si="1"/>
        <v>0</v>
      </c>
      <c r="P322" s="14"/>
      <c r="Q322" s="13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1"/>
      <c r="M323" s="11"/>
      <c r="N323" s="11"/>
      <c r="O323" s="11">
        <f t="shared" si="1"/>
        <v>0</v>
      </c>
      <c r="P323" s="14"/>
      <c r="Q323" s="13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1"/>
      <c r="M324" s="11"/>
      <c r="N324" s="11"/>
      <c r="O324" s="11">
        <f t="shared" si="1"/>
        <v>0</v>
      </c>
      <c r="P324" s="14"/>
      <c r="Q324" s="13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1"/>
      <c r="M325" s="11"/>
      <c r="N325" s="11"/>
      <c r="O325" s="11">
        <f t="shared" si="1"/>
        <v>0</v>
      </c>
      <c r="P325" s="14"/>
      <c r="Q325" s="13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1"/>
      <c r="M326" s="11"/>
      <c r="N326" s="11"/>
      <c r="O326" s="11">
        <f t="shared" si="1"/>
        <v>0</v>
      </c>
      <c r="P326" s="14"/>
      <c r="Q326" s="13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1"/>
      <c r="M327" s="11"/>
      <c r="N327" s="11"/>
      <c r="O327" s="11">
        <f t="shared" si="1"/>
        <v>0</v>
      </c>
      <c r="P327" s="14"/>
      <c r="Q327" s="13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1"/>
      <c r="M328" s="11"/>
      <c r="N328" s="11"/>
      <c r="O328" s="11">
        <f t="shared" si="1"/>
        <v>0</v>
      </c>
      <c r="P328" s="14"/>
      <c r="Q328" s="13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1"/>
      <c r="M329" s="11"/>
      <c r="N329" s="11"/>
      <c r="O329" s="11">
        <f t="shared" si="1"/>
        <v>0</v>
      </c>
      <c r="P329" s="14"/>
      <c r="Q329" s="13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1"/>
      <c r="M330" s="11"/>
      <c r="N330" s="11"/>
      <c r="O330" s="11">
        <f t="shared" si="1"/>
        <v>0</v>
      </c>
      <c r="P330" s="14"/>
      <c r="Q330" s="13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1"/>
      <c r="M331" s="11"/>
      <c r="N331" s="11"/>
      <c r="O331" s="11">
        <f t="shared" si="1"/>
        <v>0</v>
      </c>
      <c r="P331" s="14"/>
      <c r="Q331" s="13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1"/>
      <c r="M332" s="11"/>
      <c r="N332" s="11"/>
      <c r="O332" s="11">
        <f t="shared" si="1"/>
        <v>0</v>
      </c>
      <c r="P332" s="14"/>
      <c r="Q332" s="13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1"/>
      <c r="M333" s="11"/>
      <c r="N333" s="11"/>
      <c r="O333" s="11">
        <f t="shared" si="1"/>
        <v>0</v>
      </c>
      <c r="P333" s="14"/>
      <c r="Q333" s="13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1"/>
      <c r="M334" s="11"/>
      <c r="N334" s="11"/>
      <c r="O334" s="11">
        <f t="shared" si="1"/>
        <v>0</v>
      </c>
      <c r="P334" s="14"/>
      <c r="Q334" s="13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1"/>
      <c r="M335" s="11"/>
      <c r="N335" s="11"/>
      <c r="O335" s="11">
        <f t="shared" si="1"/>
        <v>0</v>
      </c>
      <c r="P335" s="14"/>
      <c r="Q335" s="13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1"/>
      <c r="M336" s="11"/>
      <c r="N336" s="11"/>
      <c r="O336" s="11">
        <f t="shared" si="1"/>
        <v>0</v>
      </c>
      <c r="P336" s="14"/>
      <c r="Q336" s="13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1"/>
      <c r="M337" s="11"/>
      <c r="N337" s="11"/>
      <c r="O337" s="11">
        <f t="shared" si="1"/>
        <v>0</v>
      </c>
      <c r="P337" s="14"/>
      <c r="Q337" s="13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1"/>
      <c r="M338" s="11"/>
      <c r="N338" s="11"/>
      <c r="O338" s="11">
        <f t="shared" si="1"/>
        <v>0</v>
      </c>
      <c r="P338" s="14"/>
      <c r="Q338" s="13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1"/>
      <c r="M339" s="11"/>
      <c r="N339" s="11"/>
      <c r="O339" s="11">
        <f t="shared" si="1"/>
        <v>0</v>
      </c>
      <c r="P339" s="14"/>
      <c r="Q339" s="13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1"/>
      <c r="M340" s="11"/>
      <c r="N340" s="11"/>
      <c r="O340" s="11">
        <f t="shared" si="1"/>
        <v>0</v>
      </c>
      <c r="P340" s="14"/>
      <c r="Q340" s="13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1"/>
      <c r="M341" s="11"/>
      <c r="N341" s="11"/>
      <c r="O341" s="11">
        <f t="shared" si="1"/>
        <v>0</v>
      </c>
      <c r="P341" s="14"/>
      <c r="Q341" s="13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1"/>
      <c r="M342" s="11"/>
      <c r="N342" s="11"/>
      <c r="O342" s="11">
        <f t="shared" si="1"/>
        <v>0</v>
      </c>
      <c r="P342" s="14"/>
      <c r="Q342" s="13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1"/>
      <c r="M343" s="11"/>
      <c r="N343" s="11"/>
      <c r="O343" s="11">
        <f t="shared" si="1"/>
        <v>0</v>
      </c>
      <c r="P343" s="14"/>
      <c r="Q343" s="13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1"/>
      <c r="M344" s="11"/>
      <c r="N344" s="11"/>
      <c r="O344" s="11">
        <f t="shared" si="1"/>
        <v>0</v>
      </c>
      <c r="P344" s="14"/>
      <c r="Q344" s="13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1"/>
      <c r="M345" s="11"/>
      <c r="N345" s="11"/>
      <c r="O345" s="11">
        <f t="shared" si="1"/>
        <v>0</v>
      </c>
      <c r="P345" s="14"/>
      <c r="Q345" s="13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1"/>
      <c r="M346" s="11"/>
      <c r="N346" s="11"/>
      <c r="O346" s="11">
        <f t="shared" si="1"/>
        <v>0</v>
      </c>
      <c r="P346" s="14"/>
      <c r="Q346" s="13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1"/>
      <c r="M347" s="11"/>
      <c r="N347" s="11"/>
      <c r="O347" s="11">
        <f t="shared" si="1"/>
        <v>0</v>
      </c>
      <c r="P347" s="14"/>
      <c r="Q347" s="13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1"/>
      <c r="M348" s="11"/>
      <c r="N348" s="11"/>
      <c r="O348" s="11">
        <f t="shared" si="1"/>
        <v>0</v>
      </c>
      <c r="P348" s="14"/>
      <c r="Q348" s="13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1"/>
      <c r="M349" s="11"/>
      <c r="N349" s="11"/>
      <c r="O349" s="11">
        <f t="shared" si="1"/>
        <v>0</v>
      </c>
      <c r="P349" s="14"/>
      <c r="Q349" s="13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1"/>
      <c r="M350" s="11"/>
      <c r="N350" s="11"/>
      <c r="O350" s="11">
        <f t="shared" si="1"/>
        <v>0</v>
      </c>
      <c r="P350" s="14"/>
      <c r="Q350" s="13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1"/>
      <c r="M351" s="11"/>
      <c r="N351" s="11"/>
      <c r="O351" s="11">
        <f t="shared" si="1"/>
        <v>0</v>
      </c>
      <c r="P351" s="14"/>
      <c r="Q351" s="13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1"/>
      <c r="M352" s="11"/>
      <c r="N352" s="11"/>
      <c r="O352" s="11">
        <f t="shared" si="1"/>
        <v>0</v>
      </c>
      <c r="P352" s="14"/>
      <c r="Q352" s="13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1"/>
      <c r="M353" s="11"/>
      <c r="N353" s="11"/>
      <c r="O353" s="11">
        <f t="shared" si="1"/>
        <v>0</v>
      </c>
      <c r="P353" s="14"/>
      <c r="Q353" s="13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1"/>
      <c r="M354" s="11"/>
      <c r="N354" s="11"/>
      <c r="O354" s="11">
        <f t="shared" si="1"/>
        <v>0</v>
      </c>
      <c r="P354" s="14"/>
      <c r="Q354" s="13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1"/>
      <c r="M355" s="11"/>
      <c r="N355" s="11"/>
      <c r="O355" s="11">
        <f t="shared" si="1"/>
        <v>0</v>
      </c>
      <c r="P355" s="14"/>
      <c r="Q355" s="13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1"/>
      <c r="M356" s="11"/>
      <c r="N356" s="11"/>
      <c r="O356" s="11">
        <f t="shared" si="1"/>
        <v>0</v>
      </c>
      <c r="P356" s="14"/>
      <c r="Q356" s="13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1"/>
      <c r="M357" s="11"/>
      <c r="N357" s="11"/>
      <c r="O357" s="11">
        <f t="shared" si="1"/>
        <v>0</v>
      </c>
      <c r="P357" s="14"/>
      <c r="Q357" s="13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1"/>
      <c r="M358" s="11"/>
      <c r="N358" s="11"/>
      <c r="O358" s="11">
        <f t="shared" si="1"/>
        <v>0</v>
      </c>
      <c r="P358" s="14"/>
      <c r="Q358" s="13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1"/>
      <c r="M359" s="11"/>
      <c r="N359" s="11"/>
      <c r="O359" s="11">
        <f t="shared" si="1"/>
        <v>0</v>
      </c>
      <c r="P359" s="14"/>
      <c r="Q359" s="13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1"/>
      <c r="M360" s="11"/>
      <c r="N360" s="11"/>
      <c r="O360" s="11">
        <f t="shared" si="1"/>
        <v>0</v>
      </c>
      <c r="P360" s="14"/>
      <c r="Q360" s="13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1"/>
      <c r="M361" s="11"/>
      <c r="N361" s="11"/>
      <c r="O361" s="11">
        <f t="shared" si="1"/>
        <v>0</v>
      </c>
      <c r="P361" s="14"/>
      <c r="Q361" s="13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1"/>
      <c r="M362" s="11"/>
      <c r="N362" s="11"/>
      <c r="O362" s="11">
        <f t="shared" si="1"/>
        <v>0</v>
      </c>
      <c r="P362" s="14"/>
      <c r="Q362" s="13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1"/>
      <c r="M363" s="11"/>
      <c r="N363" s="11"/>
      <c r="O363" s="11">
        <f t="shared" si="1"/>
        <v>0</v>
      </c>
      <c r="P363" s="14"/>
      <c r="Q363" s="13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1"/>
      <c r="M364" s="11"/>
      <c r="N364" s="11"/>
      <c r="O364" s="11">
        <f t="shared" si="1"/>
        <v>0</v>
      </c>
      <c r="P364" s="14"/>
      <c r="Q364" s="13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1"/>
      <c r="M365" s="11"/>
      <c r="N365" s="11"/>
      <c r="O365" s="11">
        <f t="shared" si="1"/>
        <v>0</v>
      </c>
      <c r="P365" s="14"/>
      <c r="Q365" s="13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1"/>
      <c r="M366" s="11"/>
      <c r="N366" s="11"/>
      <c r="O366" s="11">
        <f t="shared" si="1"/>
        <v>0</v>
      </c>
      <c r="P366" s="14"/>
      <c r="Q366" s="13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1"/>
      <c r="M367" s="11"/>
      <c r="N367" s="11"/>
      <c r="O367" s="11">
        <f t="shared" si="1"/>
        <v>0</v>
      </c>
      <c r="P367" s="14"/>
      <c r="Q367" s="13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1"/>
      <c r="M368" s="11"/>
      <c r="N368" s="11"/>
      <c r="O368" s="11">
        <f t="shared" si="1"/>
        <v>0</v>
      </c>
      <c r="P368" s="14"/>
      <c r="Q368" s="13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1"/>
      <c r="M369" s="11"/>
      <c r="N369" s="11"/>
      <c r="O369" s="11">
        <f t="shared" si="1"/>
        <v>0</v>
      </c>
      <c r="P369" s="14"/>
      <c r="Q369" s="13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1"/>
      <c r="M370" s="11"/>
      <c r="N370" s="11"/>
      <c r="O370" s="11">
        <f t="shared" si="1"/>
        <v>0</v>
      </c>
      <c r="P370" s="14"/>
      <c r="Q370" s="13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1"/>
      <c r="M371" s="11"/>
      <c r="N371" s="11"/>
      <c r="O371" s="11">
        <f t="shared" si="1"/>
        <v>0</v>
      </c>
      <c r="P371" s="14"/>
      <c r="Q371" s="13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1"/>
      <c r="M372" s="11"/>
      <c r="N372" s="11"/>
      <c r="O372" s="11">
        <f t="shared" si="1"/>
        <v>0</v>
      </c>
      <c r="P372" s="14"/>
      <c r="Q372" s="13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1"/>
      <c r="M373" s="11"/>
      <c r="N373" s="11"/>
      <c r="O373" s="11">
        <f t="shared" si="1"/>
        <v>0</v>
      </c>
      <c r="P373" s="14"/>
      <c r="Q373" s="13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1"/>
      <c r="M374" s="11"/>
      <c r="N374" s="11"/>
      <c r="O374" s="11">
        <f t="shared" si="1"/>
        <v>0</v>
      </c>
      <c r="P374" s="14"/>
      <c r="Q374" s="13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1"/>
      <c r="M375" s="11"/>
      <c r="N375" s="11"/>
      <c r="O375" s="11">
        <f t="shared" si="1"/>
        <v>0</v>
      </c>
      <c r="P375" s="14"/>
      <c r="Q375" s="13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1"/>
      <c r="M376" s="11"/>
      <c r="N376" s="11"/>
      <c r="O376" s="11">
        <f t="shared" si="1"/>
        <v>0</v>
      </c>
      <c r="P376" s="14"/>
      <c r="Q376" s="13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1"/>
      <c r="M377" s="11"/>
      <c r="N377" s="11"/>
      <c r="O377" s="11">
        <f t="shared" si="1"/>
        <v>0</v>
      </c>
      <c r="P377" s="14"/>
      <c r="Q377" s="13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1"/>
      <c r="M378" s="11"/>
      <c r="N378" s="11"/>
      <c r="O378" s="11">
        <f t="shared" si="1"/>
        <v>0</v>
      </c>
      <c r="P378" s="14"/>
      <c r="Q378" s="13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1"/>
      <c r="M379" s="11"/>
      <c r="N379" s="11"/>
      <c r="O379" s="11">
        <f t="shared" si="1"/>
        <v>0</v>
      </c>
      <c r="P379" s="14"/>
      <c r="Q379" s="13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1"/>
      <c r="M380" s="11"/>
      <c r="N380" s="11"/>
      <c r="O380" s="11">
        <f t="shared" si="1"/>
        <v>0</v>
      </c>
      <c r="P380" s="14"/>
      <c r="Q380" s="13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1"/>
      <c r="M381" s="11"/>
      <c r="N381" s="11"/>
      <c r="O381" s="11">
        <f t="shared" si="1"/>
        <v>0</v>
      </c>
      <c r="P381" s="14"/>
      <c r="Q381" s="13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1"/>
      <c r="M382" s="11"/>
      <c r="N382" s="11"/>
      <c r="O382" s="11">
        <f t="shared" si="1"/>
        <v>0</v>
      </c>
      <c r="P382" s="14"/>
      <c r="Q382" s="13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1"/>
      <c r="M383" s="11"/>
      <c r="N383" s="11"/>
      <c r="O383" s="11">
        <f t="shared" si="1"/>
        <v>0</v>
      </c>
      <c r="P383" s="14"/>
      <c r="Q383" s="13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1"/>
      <c r="M384" s="11"/>
      <c r="N384" s="11"/>
      <c r="O384" s="11">
        <f t="shared" si="1"/>
        <v>0</v>
      </c>
      <c r="P384" s="14"/>
      <c r="Q384" s="13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1"/>
      <c r="M385" s="11"/>
      <c r="N385" s="11"/>
      <c r="O385" s="11">
        <f t="shared" si="1"/>
        <v>0</v>
      </c>
      <c r="P385" s="14"/>
      <c r="Q385" s="13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1"/>
      <c r="M386" s="11"/>
      <c r="N386" s="11"/>
      <c r="O386" s="11">
        <f t="shared" si="1"/>
        <v>0</v>
      </c>
      <c r="P386" s="14"/>
      <c r="Q386" s="13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1"/>
      <c r="M387" s="11"/>
      <c r="N387" s="11"/>
      <c r="O387" s="11">
        <f t="shared" si="1"/>
        <v>0</v>
      </c>
      <c r="P387" s="14"/>
      <c r="Q387" s="13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1"/>
      <c r="M388" s="11"/>
      <c r="N388" s="11"/>
      <c r="O388" s="11">
        <f t="shared" si="1"/>
        <v>0</v>
      </c>
      <c r="P388" s="14"/>
      <c r="Q388" s="13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1"/>
      <c r="M389" s="11"/>
      <c r="N389" s="11"/>
      <c r="O389" s="11">
        <f t="shared" si="1"/>
        <v>0</v>
      </c>
      <c r="P389" s="14"/>
      <c r="Q389" s="13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1"/>
      <c r="M390" s="11"/>
      <c r="N390" s="11"/>
      <c r="O390" s="11">
        <f t="shared" si="1"/>
        <v>0</v>
      </c>
      <c r="P390" s="14"/>
      <c r="Q390" s="13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1"/>
      <c r="M391" s="11"/>
      <c r="N391" s="11"/>
      <c r="O391" s="11">
        <f t="shared" si="1"/>
        <v>0</v>
      </c>
      <c r="P391" s="14"/>
      <c r="Q391" s="13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1"/>
      <c r="M392" s="11"/>
      <c r="N392" s="11"/>
      <c r="O392" s="11">
        <f t="shared" si="1"/>
        <v>0</v>
      </c>
      <c r="P392" s="14"/>
      <c r="Q392" s="13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1"/>
      <c r="M393" s="11"/>
      <c r="N393" s="11"/>
      <c r="O393" s="11">
        <f t="shared" si="1"/>
        <v>0</v>
      </c>
      <c r="P393" s="14"/>
      <c r="Q393" s="13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1"/>
      <c r="M394" s="11"/>
      <c r="N394" s="11"/>
      <c r="O394" s="11">
        <f t="shared" si="1"/>
        <v>0</v>
      </c>
      <c r="P394" s="14"/>
      <c r="Q394" s="13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1"/>
      <c r="M395" s="11"/>
      <c r="N395" s="11"/>
      <c r="O395" s="11">
        <f t="shared" si="1"/>
        <v>0</v>
      </c>
      <c r="P395" s="14"/>
      <c r="Q395" s="13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1"/>
      <c r="M396" s="11"/>
      <c r="N396" s="11"/>
      <c r="O396" s="11">
        <f t="shared" si="1"/>
        <v>0</v>
      </c>
      <c r="P396" s="14"/>
      <c r="Q396" s="13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1"/>
      <c r="M397" s="11"/>
      <c r="N397" s="11"/>
      <c r="O397" s="11">
        <f t="shared" si="1"/>
        <v>0</v>
      </c>
      <c r="P397" s="14"/>
      <c r="Q397" s="13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1"/>
      <c r="M398" s="11"/>
      <c r="N398" s="11"/>
      <c r="O398" s="11">
        <f t="shared" si="1"/>
        <v>0</v>
      </c>
      <c r="P398" s="14"/>
      <c r="Q398" s="13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1"/>
      <c r="M399" s="11"/>
      <c r="N399" s="11"/>
      <c r="O399" s="11">
        <f t="shared" si="1"/>
        <v>0</v>
      </c>
      <c r="P399" s="14"/>
      <c r="Q399" s="13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1"/>
      <c r="M400" s="11"/>
      <c r="N400" s="11"/>
      <c r="O400" s="11">
        <f t="shared" si="1"/>
        <v>0</v>
      </c>
      <c r="P400" s="14"/>
      <c r="Q400" s="13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1"/>
      <c r="M401" s="11"/>
      <c r="N401" s="11"/>
      <c r="O401" s="11">
        <f t="shared" si="1"/>
        <v>0</v>
      </c>
      <c r="P401" s="14"/>
      <c r="Q401" s="13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1"/>
      <c r="M402" s="11"/>
      <c r="N402" s="11"/>
      <c r="O402" s="11">
        <f t="shared" si="1"/>
        <v>0</v>
      </c>
      <c r="P402" s="14"/>
      <c r="Q402" s="13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1"/>
      <c r="M403" s="11"/>
      <c r="N403" s="11"/>
      <c r="O403" s="11">
        <f t="shared" si="1"/>
        <v>0</v>
      </c>
      <c r="P403" s="14"/>
      <c r="Q403" s="13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1"/>
      <c r="M404" s="11"/>
      <c r="N404" s="11"/>
      <c r="O404" s="11">
        <f t="shared" si="1"/>
        <v>0</v>
      </c>
      <c r="P404" s="14"/>
      <c r="Q404" s="13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1"/>
      <c r="M405" s="11"/>
      <c r="N405" s="11"/>
      <c r="O405" s="11">
        <f t="shared" si="1"/>
        <v>0</v>
      </c>
      <c r="P405" s="14"/>
      <c r="Q405" s="13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1"/>
      <c r="M406" s="11"/>
      <c r="N406" s="11"/>
      <c r="O406" s="11">
        <f t="shared" si="1"/>
        <v>0</v>
      </c>
      <c r="P406" s="14"/>
      <c r="Q406" s="13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1"/>
      <c r="M407" s="11"/>
      <c r="N407" s="11"/>
      <c r="O407" s="11">
        <f t="shared" si="1"/>
        <v>0</v>
      </c>
      <c r="P407" s="14"/>
      <c r="Q407" s="13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1"/>
      <c r="M408" s="11"/>
      <c r="N408" s="11"/>
      <c r="O408" s="11">
        <f t="shared" si="1"/>
        <v>0</v>
      </c>
      <c r="P408" s="14"/>
      <c r="Q408" s="13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1"/>
      <c r="M409" s="11"/>
      <c r="N409" s="11"/>
      <c r="O409" s="11">
        <f t="shared" si="1"/>
        <v>0</v>
      </c>
      <c r="P409" s="14"/>
      <c r="Q409" s="13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1"/>
      <c r="M410" s="11"/>
      <c r="N410" s="11"/>
      <c r="O410" s="11">
        <f t="shared" si="1"/>
        <v>0</v>
      </c>
      <c r="P410" s="14"/>
      <c r="Q410" s="13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1"/>
      <c r="M411" s="11"/>
      <c r="N411" s="11"/>
      <c r="O411" s="11">
        <f t="shared" si="1"/>
        <v>0</v>
      </c>
      <c r="P411" s="14"/>
      <c r="Q411" s="13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1"/>
      <c r="M412" s="11"/>
      <c r="N412" s="11"/>
      <c r="O412" s="11">
        <f t="shared" si="1"/>
        <v>0</v>
      </c>
      <c r="P412" s="14"/>
      <c r="Q412" s="13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1"/>
      <c r="M413" s="11"/>
      <c r="N413" s="11"/>
      <c r="O413" s="11">
        <f t="shared" si="1"/>
        <v>0</v>
      </c>
      <c r="P413" s="14"/>
      <c r="Q413" s="13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1"/>
      <c r="M414" s="11"/>
      <c r="N414" s="11"/>
      <c r="O414" s="11">
        <f t="shared" si="1"/>
        <v>0</v>
      </c>
      <c r="P414" s="14"/>
      <c r="Q414" s="13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1"/>
      <c r="M415" s="11"/>
      <c r="N415" s="11"/>
      <c r="O415" s="11">
        <f t="shared" si="1"/>
        <v>0</v>
      </c>
      <c r="P415" s="14"/>
      <c r="Q415" s="13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1"/>
      <c r="M416" s="11"/>
      <c r="N416" s="11"/>
      <c r="O416" s="11">
        <f t="shared" si="1"/>
        <v>0</v>
      </c>
      <c r="P416" s="14"/>
      <c r="Q416" s="13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1"/>
      <c r="M417" s="11"/>
      <c r="N417" s="11"/>
      <c r="O417" s="11">
        <f t="shared" si="1"/>
        <v>0</v>
      </c>
      <c r="P417" s="14"/>
      <c r="Q417" s="13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1"/>
      <c r="M418" s="11"/>
      <c r="N418" s="11"/>
      <c r="O418" s="11">
        <f t="shared" si="1"/>
        <v>0</v>
      </c>
      <c r="P418" s="14"/>
      <c r="Q418" s="13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1"/>
      <c r="M419" s="11"/>
      <c r="N419" s="11"/>
      <c r="O419" s="11">
        <f t="shared" si="1"/>
        <v>0</v>
      </c>
      <c r="P419" s="14"/>
      <c r="Q419" s="13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1"/>
      <c r="M420" s="11"/>
      <c r="N420" s="11"/>
      <c r="O420" s="11">
        <f t="shared" si="1"/>
        <v>0</v>
      </c>
      <c r="P420" s="14"/>
      <c r="Q420" s="13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1"/>
      <c r="M421" s="11"/>
      <c r="N421" s="11"/>
      <c r="O421" s="11">
        <f t="shared" si="1"/>
        <v>0</v>
      </c>
      <c r="P421" s="14"/>
      <c r="Q421" s="13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1"/>
      <c r="M422" s="11"/>
      <c r="N422" s="11"/>
      <c r="O422" s="11">
        <f t="shared" si="1"/>
        <v>0</v>
      </c>
      <c r="P422" s="14"/>
      <c r="Q422" s="13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1"/>
      <c r="M423" s="11"/>
      <c r="N423" s="11"/>
      <c r="O423" s="11">
        <f t="shared" si="1"/>
        <v>0</v>
      </c>
      <c r="P423" s="14"/>
      <c r="Q423" s="13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1"/>
      <c r="M424" s="11"/>
      <c r="N424" s="11"/>
      <c r="O424" s="11">
        <f t="shared" si="1"/>
        <v>0</v>
      </c>
      <c r="P424" s="14"/>
      <c r="Q424" s="13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1"/>
      <c r="M425" s="11"/>
      <c r="N425" s="11"/>
      <c r="O425" s="11">
        <f t="shared" si="1"/>
        <v>0</v>
      </c>
      <c r="P425" s="14"/>
      <c r="Q425" s="13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1"/>
      <c r="M426" s="11"/>
      <c r="N426" s="11"/>
      <c r="O426" s="11">
        <f t="shared" si="1"/>
        <v>0</v>
      </c>
      <c r="P426" s="14"/>
      <c r="Q426" s="13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1"/>
      <c r="M427" s="11"/>
      <c r="N427" s="11"/>
      <c r="O427" s="11">
        <f t="shared" si="1"/>
        <v>0</v>
      </c>
      <c r="P427" s="14"/>
      <c r="Q427" s="13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1"/>
      <c r="M428" s="11"/>
      <c r="N428" s="11"/>
      <c r="O428" s="11">
        <f t="shared" si="1"/>
        <v>0</v>
      </c>
      <c r="P428" s="14"/>
      <c r="Q428" s="13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1"/>
      <c r="M429" s="11"/>
      <c r="N429" s="11"/>
      <c r="O429" s="11">
        <f t="shared" si="1"/>
        <v>0</v>
      </c>
      <c r="P429" s="14"/>
      <c r="Q429" s="13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1"/>
      <c r="M430" s="11"/>
      <c r="N430" s="11"/>
      <c r="O430" s="11">
        <f t="shared" si="1"/>
        <v>0</v>
      </c>
      <c r="P430" s="14"/>
      <c r="Q430" s="13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1"/>
      <c r="M431" s="11"/>
      <c r="N431" s="11"/>
      <c r="O431" s="11">
        <f t="shared" si="1"/>
        <v>0</v>
      </c>
      <c r="P431" s="14"/>
      <c r="Q431" s="13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1"/>
      <c r="M432" s="11"/>
      <c r="N432" s="11"/>
      <c r="O432" s="11">
        <f t="shared" si="1"/>
        <v>0</v>
      </c>
      <c r="P432" s="14"/>
      <c r="Q432" s="13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1"/>
      <c r="M433" s="11"/>
      <c r="N433" s="11"/>
      <c r="O433" s="11">
        <f t="shared" si="1"/>
        <v>0</v>
      </c>
      <c r="P433" s="14"/>
      <c r="Q433" s="13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1"/>
      <c r="M434" s="11"/>
      <c r="N434" s="11"/>
      <c r="O434" s="11">
        <f t="shared" si="1"/>
        <v>0</v>
      </c>
      <c r="P434" s="14"/>
      <c r="Q434" s="13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1"/>
      <c r="M435" s="11"/>
      <c r="N435" s="11"/>
      <c r="O435" s="11">
        <f t="shared" si="1"/>
        <v>0</v>
      </c>
      <c r="P435" s="14"/>
      <c r="Q435" s="13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1"/>
      <c r="M436" s="11"/>
      <c r="N436" s="11"/>
      <c r="O436" s="11">
        <f t="shared" si="1"/>
        <v>0</v>
      </c>
      <c r="P436" s="14"/>
      <c r="Q436" s="13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1"/>
      <c r="M437" s="11"/>
      <c r="N437" s="11"/>
      <c r="O437" s="11">
        <f t="shared" si="1"/>
        <v>0</v>
      </c>
      <c r="P437" s="14"/>
      <c r="Q437" s="13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1"/>
      <c r="M438" s="11"/>
      <c r="N438" s="11"/>
      <c r="O438" s="11">
        <f t="shared" si="1"/>
        <v>0</v>
      </c>
      <c r="P438" s="14"/>
      <c r="Q438" s="13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1"/>
      <c r="M439" s="11"/>
      <c r="N439" s="11"/>
      <c r="O439" s="11">
        <f t="shared" si="1"/>
        <v>0</v>
      </c>
      <c r="P439" s="14"/>
      <c r="Q439" s="13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1"/>
      <c r="M440" s="11"/>
      <c r="N440" s="11"/>
      <c r="O440" s="11">
        <f t="shared" si="1"/>
        <v>0</v>
      </c>
      <c r="P440" s="14"/>
      <c r="Q440" s="13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1"/>
      <c r="M441" s="11"/>
      <c r="N441" s="11"/>
      <c r="O441" s="11">
        <f t="shared" si="1"/>
        <v>0</v>
      </c>
      <c r="P441" s="14"/>
      <c r="Q441" s="13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1"/>
      <c r="M442" s="11"/>
      <c r="N442" s="11"/>
      <c r="O442" s="11">
        <f t="shared" si="1"/>
        <v>0</v>
      </c>
      <c r="P442" s="14"/>
      <c r="Q442" s="13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1"/>
      <c r="M443" s="11"/>
      <c r="N443" s="11"/>
      <c r="O443" s="11">
        <f t="shared" si="1"/>
        <v>0</v>
      </c>
      <c r="P443" s="14"/>
      <c r="Q443" s="13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1"/>
      <c r="M444" s="11"/>
      <c r="N444" s="11"/>
      <c r="O444" s="11">
        <f t="shared" si="1"/>
        <v>0</v>
      </c>
      <c r="P444" s="14"/>
      <c r="Q444" s="13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1"/>
      <c r="M445" s="11"/>
      <c r="N445" s="11"/>
      <c r="O445" s="11">
        <f t="shared" si="1"/>
        <v>0</v>
      </c>
      <c r="P445" s="14"/>
      <c r="Q445" s="13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1"/>
      <c r="M446" s="11"/>
      <c r="N446" s="11"/>
      <c r="O446" s="11">
        <f t="shared" si="1"/>
        <v>0</v>
      </c>
      <c r="P446" s="14"/>
      <c r="Q446" s="13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1"/>
      <c r="M447" s="11"/>
      <c r="N447" s="11"/>
      <c r="O447" s="11">
        <f t="shared" si="1"/>
        <v>0</v>
      </c>
      <c r="P447" s="14"/>
      <c r="Q447" s="13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1"/>
      <c r="M448" s="11"/>
      <c r="N448" s="11"/>
      <c r="O448" s="11">
        <f t="shared" si="1"/>
        <v>0</v>
      </c>
      <c r="P448" s="14"/>
      <c r="Q448" s="13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1"/>
      <c r="M449" s="11"/>
      <c r="N449" s="11"/>
      <c r="O449" s="11">
        <f t="shared" si="1"/>
        <v>0</v>
      </c>
      <c r="P449" s="14"/>
      <c r="Q449" s="13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1"/>
      <c r="M450" s="11"/>
      <c r="N450" s="11"/>
      <c r="O450" s="11">
        <f t="shared" si="1"/>
        <v>0</v>
      </c>
      <c r="P450" s="14"/>
      <c r="Q450" s="13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1"/>
      <c r="M451" s="11"/>
      <c r="N451" s="11"/>
      <c r="O451" s="11">
        <f t="shared" si="1"/>
        <v>0</v>
      </c>
      <c r="P451" s="14"/>
      <c r="Q451" s="13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1"/>
      <c r="M452" s="11"/>
      <c r="N452" s="11"/>
      <c r="O452" s="11">
        <f t="shared" si="1"/>
        <v>0</v>
      </c>
      <c r="P452" s="14"/>
      <c r="Q452" s="13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1"/>
      <c r="M453" s="11"/>
      <c r="N453" s="11"/>
      <c r="O453" s="11">
        <f t="shared" si="1"/>
        <v>0</v>
      </c>
      <c r="P453" s="14"/>
      <c r="Q453" s="13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1"/>
      <c r="M454" s="11"/>
      <c r="N454" s="11"/>
      <c r="O454" s="11">
        <f t="shared" si="1"/>
        <v>0</v>
      </c>
      <c r="P454" s="14"/>
      <c r="Q454" s="13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1"/>
      <c r="M455" s="11"/>
      <c r="N455" s="11"/>
      <c r="O455" s="11">
        <f t="shared" si="1"/>
        <v>0</v>
      </c>
      <c r="P455" s="14"/>
      <c r="Q455" s="13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1"/>
      <c r="M456" s="11"/>
      <c r="N456" s="11"/>
      <c r="O456" s="11">
        <f t="shared" si="1"/>
        <v>0</v>
      </c>
      <c r="P456" s="14"/>
      <c r="Q456" s="13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1"/>
      <c r="M457" s="11"/>
      <c r="N457" s="11"/>
      <c r="O457" s="11">
        <f t="shared" si="1"/>
        <v>0</v>
      </c>
      <c r="P457" s="14"/>
      <c r="Q457" s="13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1"/>
      <c r="M458" s="11"/>
      <c r="N458" s="11"/>
      <c r="O458" s="11">
        <f t="shared" si="1"/>
        <v>0</v>
      </c>
      <c r="P458" s="14"/>
      <c r="Q458" s="13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1"/>
      <c r="M459" s="11"/>
      <c r="N459" s="11"/>
      <c r="O459" s="11">
        <f t="shared" si="1"/>
        <v>0</v>
      </c>
      <c r="P459" s="14"/>
      <c r="Q459" s="13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1"/>
      <c r="M460" s="11"/>
      <c r="N460" s="11"/>
      <c r="O460" s="11">
        <f t="shared" si="1"/>
        <v>0</v>
      </c>
      <c r="P460" s="14"/>
      <c r="Q460" s="13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1"/>
      <c r="M461" s="11"/>
      <c r="N461" s="11"/>
      <c r="O461" s="11">
        <f t="shared" si="1"/>
        <v>0</v>
      </c>
      <c r="P461" s="14"/>
      <c r="Q461" s="13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1"/>
      <c r="M462" s="11"/>
      <c r="N462" s="11"/>
      <c r="O462" s="11">
        <f t="shared" si="1"/>
        <v>0</v>
      </c>
      <c r="P462" s="14"/>
      <c r="Q462" s="13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1"/>
      <c r="M463" s="11"/>
      <c r="N463" s="11"/>
      <c r="O463" s="11">
        <f t="shared" si="1"/>
        <v>0</v>
      </c>
      <c r="P463" s="14"/>
      <c r="Q463" s="13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1"/>
      <c r="M464" s="11"/>
      <c r="N464" s="11"/>
      <c r="O464" s="11">
        <f t="shared" si="1"/>
        <v>0</v>
      </c>
      <c r="P464" s="14"/>
      <c r="Q464" s="13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1"/>
      <c r="M465" s="11"/>
      <c r="N465" s="11"/>
      <c r="O465" s="11">
        <f t="shared" si="1"/>
        <v>0</v>
      </c>
      <c r="P465" s="14"/>
      <c r="Q465" s="13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1"/>
      <c r="M466" s="11"/>
      <c r="N466" s="11"/>
      <c r="O466" s="11">
        <f t="shared" si="1"/>
        <v>0</v>
      </c>
      <c r="P466" s="14"/>
      <c r="Q466" s="13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1"/>
      <c r="M467" s="11"/>
      <c r="N467" s="11"/>
      <c r="O467" s="11">
        <f t="shared" si="1"/>
        <v>0</v>
      </c>
      <c r="P467" s="14"/>
      <c r="Q467" s="13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1"/>
      <c r="M468" s="11"/>
      <c r="N468" s="11"/>
      <c r="O468" s="11">
        <f t="shared" si="1"/>
        <v>0</v>
      </c>
      <c r="P468" s="14"/>
      <c r="Q468" s="13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1"/>
      <c r="M469" s="11"/>
      <c r="N469" s="11"/>
      <c r="O469" s="11">
        <f t="shared" si="1"/>
        <v>0</v>
      </c>
      <c r="P469" s="14"/>
      <c r="Q469" s="13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1"/>
      <c r="M470" s="11"/>
      <c r="N470" s="11"/>
      <c r="O470" s="11">
        <f t="shared" si="1"/>
        <v>0</v>
      </c>
      <c r="P470" s="14"/>
      <c r="Q470" s="13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1"/>
      <c r="M471" s="11"/>
      <c r="N471" s="11"/>
      <c r="O471" s="11">
        <f t="shared" si="1"/>
        <v>0</v>
      </c>
      <c r="P471" s="14"/>
      <c r="Q471" s="13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1"/>
      <c r="M472" s="11"/>
      <c r="N472" s="11"/>
      <c r="O472" s="11">
        <f t="shared" si="1"/>
        <v>0</v>
      </c>
      <c r="P472" s="14"/>
      <c r="Q472" s="13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1"/>
      <c r="M473" s="11"/>
      <c r="N473" s="11"/>
      <c r="O473" s="11">
        <f t="shared" si="1"/>
        <v>0</v>
      </c>
      <c r="P473" s="14"/>
      <c r="Q473" s="13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1"/>
      <c r="M474" s="11"/>
      <c r="N474" s="11"/>
      <c r="O474" s="11">
        <f t="shared" si="1"/>
        <v>0</v>
      </c>
      <c r="P474" s="14"/>
      <c r="Q474" s="13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1"/>
      <c r="M475" s="11"/>
      <c r="N475" s="11"/>
      <c r="O475" s="11">
        <f t="shared" si="1"/>
        <v>0</v>
      </c>
      <c r="P475" s="14"/>
      <c r="Q475" s="13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1"/>
      <c r="M476" s="11"/>
      <c r="N476" s="11"/>
      <c r="O476" s="11">
        <f t="shared" si="1"/>
        <v>0</v>
      </c>
      <c r="P476" s="14"/>
      <c r="Q476" s="13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1"/>
      <c r="M477" s="11"/>
      <c r="N477" s="11"/>
      <c r="O477" s="11">
        <f t="shared" si="1"/>
        <v>0</v>
      </c>
      <c r="P477" s="14"/>
      <c r="Q477" s="13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1"/>
      <c r="M478" s="11"/>
      <c r="N478" s="11"/>
      <c r="O478" s="11">
        <f t="shared" si="1"/>
        <v>0</v>
      </c>
      <c r="P478" s="14"/>
      <c r="Q478" s="13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1"/>
      <c r="M479" s="11"/>
      <c r="N479" s="11"/>
      <c r="O479" s="11">
        <f t="shared" si="1"/>
        <v>0</v>
      </c>
      <c r="P479" s="14"/>
      <c r="Q479" s="13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1"/>
      <c r="M480" s="11"/>
      <c r="N480" s="11"/>
      <c r="O480" s="11">
        <f t="shared" si="1"/>
        <v>0</v>
      </c>
      <c r="P480" s="14"/>
      <c r="Q480" s="13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1"/>
      <c r="M481" s="11"/>
      <c r="N481" s="11"/>
      <c r="O481" s="11">
        <f t="shared" si="1"/>
        <v>0</v>
      </c>
      <c r="P481" s="14"/>
      <c r="Q481" s="13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1"/>
      <c r="M482" s="11"/>
      <c r="N482" s="11"/>
      <c r="O482" s="11">
        <f t="shared" si="1"/>
        <v>0</v>
      </c>
      <c r="P482" s="14"/>
      <c r="Q482" s="13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1"/>
      <c r="M483" s="11"/>
      <c r="N483" s="11"/>
      <c r="O483" s="11">
        <f t="shared" si="1"/>
        <v>0</v>
      </c>
      <c r="P483" s="14"/>
      <c r="Q483" s="13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1"/>
      <c r="M484" s="11"/>
      <c r="N484" s="11"/>
      <c r="O484" s="11">
        <f t="shared" si="1"/>
        <v>0</v>
      </c>
      <c r="P484" s="14"/>
      <c r="Q484" s="13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1"/>
      <c r="M485" s="11"/>
      <c r="N485" s="11"/>
      <c r="O485" s="11">
        <f t="shared" si="1"/>
        <v>0</v>
      </c>
      <c r="P485" s="14"/>
      <c r="Q485" s="13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1"/>
      <c r="M486" s="11"/>
      <c r="N486" s="11"/>
      <c r="O486" s="11">
        <f t="shared" si="1"/>
        <v>0</v>
      </c>
      <c r="P486" s="14"/>
      <c r="Q486" s="13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1"/>
      <c r="M487" s="11"/>
      <c r="N487" s="11"/>
      <c r="O487" s="11">
        <f t="shared" si="1"/>
        <v>0</v>
      </c>
      <c r="P487" s="14"/>
      <c r="Q487" s="13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1"/>
      <c r="M488" s="11"/>
      <c r="N488" s="11"/>
      <c r="O488" s="11">
        <f t="shared" si="1"/>
        <v>0</v>
      </c>
      <c r="P488" s="14"/>
      <c r="Q488" s="13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1"/>
      <c r="M489" s="11"/>
      <c r="N489" s="11"/>
      <c r="O489" s="11">
        <f t="shared" si="1"/>
        <v>0</v>
      </c>
      <c r="P489" s="14"/>
      <c r="Q489" s="13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1"/>
      <c r="M490" s="11"/>
      <c r="N490" s="11"/>
      <c r="O490" s="11">
        <f t="shared" si="1"/>
        <v>0</v>
      </c>
      <c r="P490" s="14"/>
      <c r="Q490" s="13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1"/>
      <c r="M491" s="11"/>
      <c r="N491" s="11"/>
      <c r="O491" s="11">
        <f t="shared" si="1"/>
        <v>0</v>
      </c>
      <c r="P491" s="14"/>
      <c r="Q491" s="13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1"/>
      <c r="M492" s="11"/>
      <c r="N492" s="11"/>
      <c r="O492" s="11">
        <f t="shared" si="1"/>
        <v>0</v>
      </c>
      <c r="P492" s="14"/>
      <c r="Q492" s="13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1"/>
      <c r="M493" s="11"/>
      <c r="N493" s="11"/>
      <c r="O493" s="11">
        <f t="shared" si="1"/>
        <v>0</v>
      </c>
      <c r="P493" s="14"/>
      <c r="Q493" s="13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1"/>
      <c r="M494" s="11"/>
      <c r="N494" s="11"/>
      <c r="O494" s="11">
        <f t="shared" si="1"/>
        <v>0</v>
      </c>
      <c r="P494" s="14"/>
      <c r="Q494" s="13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1"/>
      <c r="M495" s="11"/>
      <c r="N495" s="11"/>
      <c r="O495" s="11">
        <f t="shared" si="1"/>
        <v>0</v>
      </c>
      <c r="P495" s="14"/>
      <c r="Q495" s="13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1"/>
      <c r="M496" s="11"/>
      <c r="N496" s="11"/>
      <c r="O496" s="11">
        <f t="shared" si="1"/>
        <v>0</v>
      </c>
      <c r="P496" s="14"/>
      <c r="Q496" s="13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1"/>
      <c r="M497" s="11"/>
      <c r="N497" s="11"/>
      <c r="O497" s="11">
        <f t="shared" si="1"/>
        <v>0</v>
      </c>
      <c r="P497" s="14"/>
      <c r="Q497" s="13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1"/>
      <c r="M498" s="11"/>
      <c r="N498" s="11"/>
      <c r="O498" s="11">
        <f t="shared" si="1"/>
        <v>0</v>
      </c>
      <c r="P498" s="14"/>
      <c r="Q498" s="13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1"/>
      <c r="M499" s="11"/>
      <c r="N499" s="11"/>
      <c r="O499" s="11">
        <f t="shared" si="1"/>
        <v>0</v>
      </c>
      <c r="P499" s="14"/>
      <c r="Q499" s="13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1"/>
      <c r="M500" s="11"/>
      <c r="N500" s="11"/>
      <c r="O500" s="11">
        <f t="shared" si="1"/>
        <v>0</v>
      </c>
      <c r="P500" s="14"/>
      <c r="Q500" s="13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1"/>
      <c r="M501" s="11"/>
      <c r="N501" s="11"/>
      <c r="O501" s="11">
        <f t="shared" si="1"/>
        <v>0</v>
      </c>
      <c r="P501" s="14"/>
      <c r="Q501" s="13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1"/>
      <c r="M502" s="11"/>
      <c r="N502" s="11"/>
      <c r="O502" s="11">
        <f t="shared" si="1"/>
        <v>0</v>
      </c>
      <c r="P502" s="14"/>
      <c r="Q502" s="13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1"/>
      <c r="M503" s="11"/>
      <c r="N503" s="11"/>
      <c r="O503" s="11">
        <f t="shared" si="1"/>
        <v>0</v>
      </c>
      <c r="P503" s="14"/>
      <c r="Q503" s="13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1"/>
      <c r="M504" s="11"/>
      <c r="N504" s="11"/>
      <c r="O504" s="11">
        <f t="shared" si="1"/>
        <v>0</v>
      </c>
      <c r="P504" s="14"/>
      <c r="Q504" s="13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1"/>
      <c r="M505" s="11"/>
      <c r="N505" s="11"/>
      <c r="O505" s="11">
        <f t="shared" si="1"/>
        <v>0</v>
      </c>
      <c r="P505" s="14"/>
      <c r="Q505" s="13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1"/>
      <c r="M506" s="11"/>
      <c r="N506" s="11"/>
      <c r="O506" s="11">
        <f t="shared" si="1"/>
        <v>0</v>
      </c>
      <c r="P506" s="14"/>
      <c r="Q506" s="13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1"/>
      <c r="M507" s="11"/>
      <c r="N507" s="11"/>
      <c r="O507" s="11">
        <f t="shared" si="1"/>
        <v>0</v>
      </c>
      <c r="P507" s="14"/>
      <c r="Q507" s="13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1"/>
      <c r="M508" s="11"/>
      <c r="N508" s="11"/>
      <c r="O508" s="11">
        <f t="shared" si="1"/>
        <v>0</v>
      </c>
      <c r="P508" s="14"/>
      <c r="Q508" s="13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1"/>
      <c r="M509" s="11"/>
      <c r="N509" s="11"/>
      <c r="O509" s="11">
        <f t="shared" si="1"/>
        <v>0</v>
      </c>
      <c r="P509" s="14"/>
      <c r="Q509" s="13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1"/>
      <c r="M510" s="11"/>
      <c r="N510" s="11"/>
      <c r="O510" s="11">
        <f t="shared" si="1"/>
        <v>0</v>
      </c>
      <c r="P510" s="14"/>
      <c r="Q510" s="13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1"/>
      <c r="M511" s="11"/>
      <c r="N511" s="11"/>
      <c r="O511" s="11">
        <f t="shared" si="1"/>
        <v>0</v>
      </c>
      <c r="P511" s="14"/>
      <c r="Q511" s="13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1"/>
      <c r="M512" s="11"/>
      <c r="N512" s="11"/>
      <c r="O512" s="11">
        <f t="shared" si="1"/>
        <v>0</v>
      </c>
      <c r="P512" s="14"/>
      <c r="Q512" s="13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1"/>
      <c r="M513" s="11"/>
      <c r="N513" s="11"/>
      <c r="O513" s="11">
        <f t="shared" si="1"/>
        <v>0</v>
      </c>
      <c r="P513" s="14"/>
      <c r="Q513" s="13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1"/>
      <c r="M514" s="11"/>
      <c r="N514" s="11"/>
      <c r="O514" s="11">
        <f t="shared" si="1"/>
        <v>0</v>
      </c>
      <c r="P514" s="14"/>
      <c r="Q514" s="13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1"/>
      <c r="M515" s="11"/>
      <c r="N515" s="11"/>
      <c r="O515" s="11">
        <f t="shared" si="1"/>
        <v>0</v>
      </c>
      <c r="P515" s="14"/>
      <c r="Q515" s="13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1"/>
      <c r="M516" s="11"/>
      <c r="N516" s="11"/>
      <c r="O516" s="11">
        <f t="shared" si="1"/>
        <v>0</v>
      </c>
      <c r="P516" s="14"/>
      <c r="Q516" s="13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1"/>
      <c r="M517" s="11"/>
      <c r="N517" s="11"/>
      <c r="O517" s="11">
        <f t="shared" si="1"/>
        <v>0</v>
      </c>
      <c r="P517" s="14"/>
      <c r="Q517" s="13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1"/>
      <c r="M518" s="11"/>
      <c r="N518" s="11"/>
      <c r="O518" s="11">
        <f t="shared" si="1"/>
        <v>0</v>
      </c>
      <c r="P518" s="14"/>
      <c r="Q518" s="13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1"/>
      <c r="M519" s="11"/>
      <c r="N519" s="11"/>
      <c r="O519" s="11">
        <f t="shared" si="1"/>
        <v>0</v>
      </c>
      <c r="P519" s="14"/>
      <c r="Q519" s="13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1"/>
      <c r="M520" s="11"/>
      <c r="N520" s="11"/>
      <c r="O520" s="11">
        <f t="shared" si="1"/>
        <v>0</v>
      </c>
      <c r="P520" s="14"/>
      <c r="Q520" s="13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1"/>
      <c r="M521" s="11"/>
      <c r="N521" s="11"/>
      <c r="O521" s="11">
        <f t="shared" si="1"/>
        <v>0</v>
      </c>
      <c r="P521" s="14"/>
      <c r="Q521" s="13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1"/>
      <c r="M522" s="11"/>
      <c r="N522" s="11"/>
      <c r="O522" s="11">
        <f t="shared" si="1"/>
        <v>0</v>
      </c>
      <c r="P522" s="14"/>
      <c r="Q522" s="13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1"/>
      <c r="M523" s="11"/>
      <c r="N523" s="11"/>
      <c r="O523" s="11">
        <f t="shared" si="1"/>
        <v>0</v>
      </c>
      <c r="P523" s="14"/>
      <c r="Q523" s="13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1"/>
      <c r="M524" s="11"/>
      <c r="N524" s="11"/>
      <c r="O524" s="11">
        <f t="shared" si="1"/>
        <v>0</v>
      </c>
      <c r="P524" s="14"/>
      <c r="Q524" s="13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1"/>
      <c r="M525" s="11"/>
      <c r="N525" s="11"/>
      <c r="O525" s="11">
        <f t="shared" si="1"/>
        <v>0</v>
      </c>
      <c r="P525" s="14"/>
      <c r="Q525" s="13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1"/>
      <c r="M526" s="11"/>
      <c r="N526" s="11"/>
      <c r="O526" s="11">
        <f t="shared" si="1"/>
        <v>0</v>
      </c>
      <c r="P526" s="14"/>
      <c r="Q526" s="13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1"/>
      <c r="M527" s="11"/>
      <c r="N527" s="11"/>
      <c r="O527" s="11">
        <f t="shared" si="1"/>
        <v>0</v>
      </c>
      <c r="P527" s="14"/>
      <c r="Q527" s="13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1"/>
      <c r="M528" s="11"/>
      <c r="N528" s="11"/>
      <c r="O528" s="11">
        <f t="shared" si="1"/>
        <v>0</v>
      </c>
      <c r="P528" s="14"/>
      <c r="Q528" s="13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1"/>
      <c r="M529" s="11"/>
      <c r="N529" s="11"/>
      <c r="O529" s="11">
        <f t="shared" si="1"/>
        <v>0</v>
      </c>
      <c r="P529" s="14"/>
      <c r="Q529" s="13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1"/>
      <c r="M530" s="11"/>
      <c r="N530" s="11"/>
      <c r="O530" s="11">
        <f t="shared" si="1"/>
        <v>0</v>
      </c>
      <c r="P530" s="14"/>
      <c r="Q530" s="13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1"/>
      <c r="M531" s="11"/>
      <c r="N531" s="11"/>
      <c r="O531" s="11">
        <f t="shared" si="1"/>
        <v>0</v>
      </c>
      <c r="P531" s="14"/>
      <c r="Q531" s="13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1"/>
      <c r="M532" s="11"/>
      <c r="N532" s="11"/>
      <c r="O532" s="11">
        <f t="shared" si="1"/>
        <v>0</v>
      </c>
      <c r="P532" s="14"/>
      <c r="Q532" s="13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1"/>
      <c r="M533" s="11"/>
      <c r="N533" s="11"/>
      <c r="O533" s="11">
        <f t="shared" si="1"/>
        <v>0</v>
      </c>
      <c r="P533" s="14"/>
      <c r="Q533" s="13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1"/>
      <c r="M534" s="11"/>
      <c r="N534" s="11"/>
      <c r="O534" s="11">
        <f t="shared" si="1"/>
        <v>0</v>
      </c>
      <c r="P534" s="14"/>
      <c r="Q534" s="13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1"/>
      <c r="M535" s="11"/>
      <c r="N535" s="11"/>
      <c r="O535" s="11">
        <f t="shared" si="1"/>
        <v>0</v>
      </c>
      <c r="P535" s="14"/>
      <c r="Q535" s="13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1"/>
      <c r="M536" s="11"/>
      <c r="N536" s="11"/>
      <c r="O536" s="11">
        <f t="shared" si="1"/>
        <v>0</v>
      </c>
      <c r="P536" s="14"/>
      <c r="Q536" s="13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1"/>
      <c r="M537" s="11"/>
      <c r="N537" s="11"/>
      <c r="O537" s="11">
        <f t="shared" si="1"/>
        <v>0</v>
      </c>
      <c r="P537" s="14"/>
      <c r="Q537" s="13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1"/>
      <c r="M538" s="11"/>
      <c r="N538" s="11"/>
      <c r="O538" s="11">
        <f t="shared" si="1"/>
        <v>0</v>
      </c>
      <c r="P538" s="14"/>
      <c r="Q538" s="13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1"/>
      <c r="M539" s="11"/>
      <c r="N539" s="11"/>
      <c r="O539" s="11">
        <f t="shared" si="1"/>
        <v>0</v>
      </c>
      <c r="P539" s="14"/>
      <c r="Q539" s="13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1"/>
      <c r="M540" s="11"/>
      <c r="N540" s="11"/>
      <c r="O540" s="11">
        <f t="shared" si="1"/>
        <v>0</v>
      </c>
      <c r="P540" s="14"/>
      <c r="Q540" s="13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1"/>
      <c r="M541" s="11"/>
      <c r="N541" s="11"/>
      <c r="O541" s="11">
        <f t="shared" si="1"/>
        <v>0</v>
      </c>
      <c r="P541" s="14"/>
      <c r="Q541" s="13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1"/>
      <c r="M542" s="11"/>
      <c r="N542" s="11"/>
      <c r="O542" s="11">
        <f t="shared" si="1"/>
        <v>0</v>
      </c>
      <c r="P542" s="14"/>
      <c r="Q542" s="13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1"/>
      <c r="M543" s="11"/>
      <c r="N543" s="11"/>
      <c r="O543" s="11">
        <f t="shared" si="1"/>
        <v>0</v>
      </c>
      <c r="P543" s="14"/>
      <c r="Q543" s="13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1"/>
      <c r="M544" s="11"/>
      <c r="N544" s="11"/>
      <c r="O544" s="11">
        <f t="shared" si="1"/>
        <v>0</v>
      </c>
      <c r="P544" s="14"/>
      <c r="Q544" s="13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1"/>
      <c r="M545" s="11"/>
      <c r="N545" s="11"/>
      <c r="O545" s="11">
        <f t="shared" si="1"/>
        <v>0</v>
      </c>
      <c r="P545" s="14"/>
      <c r="Q545" s="13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1"/>
      <c r="M546" s="11"/>
      <c r="N546" s="11"/>
      <c r="O546" s="11">
        <f t="shared" si="1"/>
        <v>0</v>
      </c>
      <c r="P546" s="14"/>
      <c r="Q546" s="13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1"/>
      <c r="M547" s="11"/>
      <c r="N547" s="11"/>
      <c r="O547" s="11">
        <f t="shared" si="1"/>
        <v>0</v>
      </c>
      <c r="P547" s="14"/>
      <c r="Q547" s="13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1"/>
      <c r="M548" s="11"/>
      <c r="N548" s="11"/>
      <c r="O548" s="11">
        <f t="shared" si="1"/>
        <v>0</v>
      </c>
      <c r="P548" s="14"/>
      <c r="Q548" s="13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1"/>
      <c r="M549" s="11"/>
      <c r="N549" s="11"/>
      <c r="O549" s="11">
        <f t="shared" si="1"/>
        <v>0</v>
      </c>
      <c r="P549" s="14"/>
      <c r="Q549" s="13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1"/>
      <c r="M550" s="11"/>
      <c r="N550" s="11"/>
      <c r="O550" s="11">
        <f t="shared" si="1"/>
        <v>0</v>
      </c>
      <c r="P550" s="14"/>
      <c r="Q550" s="13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1"/>
      <c r="M551" s="11"/>
      <c r="N551" s="11"/>
      <c r="O551" s="11">
        <f t="shared" si="1"/>
        <v>0</v>
      </c>
      <c r="P551" s="14"/>
      <c r="Q551" s="13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1"/>
      <c r="M552" s="11"/>
      <c r="N552" s="11"/>
      <c r="O552" s="11">
        <f t="shared" si="1"/>
        <v>0</v>
      </c>
      <c r="P552" s="14"/>
      <c r="Q552" s="13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1"/>
      <c r="M553" s="11"/>
      <c r="N553" s="11"/>
      <c r="O553" s="11">
        <f t="shared" si="1"/>
        <v>0</v>
      </c>
      <c r="P553" s="14"/>
      <c r="Q553" s="13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1"/>
      <c r="M554" s="11"/>
      <c r="N554" s="11"/>
      <c r="O554" s="11">
        <f t="shared" si="1"/>
        <v>0</v>
      </c>
      <c r="P554" s="14"/>
      <c r="Q554" s="13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1"/>
      <c r="M555" s="11"/>
      <c r="N555" s="11"/>
      <c r="O555" s="11">
        <f t="shared" si="1"/>
        <v>0</v>
      </c>
      <c r="P555" s="14"/>
      <c r="Q555" s="13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1"/>
      <c r="M556" s="11"/>
      <c r="N556" s="11"/>
      <c r="O556" s="11">
        <f t="shared" si="1"/>
        <v>0</v>
      </c>
      <c r="P556" s="14"/>
      <c r="Q556" s="13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1"/>
      <c r="M557" s="11"/>
      <c r="N557" s="11"/>
      <c r="O557" s="11">
        <f t="shared" si="1"/>
        <v>0</v>
      </c>
      <c r="P557" s="14"/>
      <c r="Q557" s="13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1"/>
      <c r="M558" s="11"/>
      <c r="N558" s="11"/>
      <c r="O558" s="11">
        <f t="shared" si="1"/>
        <v>0</v>
      </c>
      <c r="P558" s="14"/>
      <c r="Q558" s="13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1"/>
      <c r="M559" s="11"/>
      <c r="N559" s="11"/>
      <c r="O559" s="11">
        <f t="shared" si="1"/>
        <v>0</v>
      </c>
      <c r="P559" s="14"/>
      <c r="Q559" s="13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1"/>
      <c r="M560" s="11"/>
      <c r="N560" s="11"/>
      <c r="O560" s="11">
        <f t="shared" si="1"/>
        <v>0</v>
      </c>
      <c r="P560" s="14"/>
      <c r="Q560" s="13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1"/>
      <c r="M561" s="11"/>
      <c r="N561" s="11"/>
      <c r="O561" s="11">
        <f t="shared" si="1"/>
        <v>0</v>
      </c>
      <c r="P561" s="14"/>
      <c r="Q561" s="13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1"/>
      <c r="M562" s="11"/>
      <c r="N562" s="11"/>
      <c r="O562" s="11">
        <f t="shared" si="1"/>
        <v>0</v>
      </c>
      <c r="P562" s="14"/>
      <c r="Q562" s="13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1"/>
      <c r="M563" s="11"/>
      <c r="N563" s="11"/>
      <c r="O563" s="11">
        <f t="shared" si="1"/>
        <v>0</v>
      </c>
      <c r="P563" s="14"/>
      <c r="Q563" s="13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1"/>
      <c r="M564" s="11"/>
      <c r="N564" s="11"/>
      <c r="O564" s="11">
        <f t="shared" si="1"/>
        <v>0</v>
      </c>
      <c r="P564" s="14"/>
      <c r="Q564" s="13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1"/>
      <c r="M565" s="11"/>
      <c r="N565" s="11"/>
      <c r="O565" s="11">
        <f t="shared" si="1"/>
        <v>0</v>
      </c>
      <c r="P565" s="14"/>
      <c r="Q565" s="13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1"/>
      <c r="M566" s="11"/>
      <c r="N566" s="11"/>
      <c r="O566" s="11">
        <f t="shared" si="1"/>
        <v>0</v>
      </c>
      <c r="P566" s="14"/>
      <c r="Q566" s="13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1"/>
      <c r="M567" s="11"/>
      <c r="N567" s="11"/>
      <c r="O567" s="11">
        <f t="shared" si="1"/>
        <v>0</v>
      </c>
      <c r="P567" s="14"/>
      <c r="Q567" s="13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1"/>
      <c r="M568" s="11"/>
      <c r="N568" s="11"/>
      <c r="O568" s="11">
        <f t="shared" si="1"/>
        <v>0</v>
      </c>
      <c r="P568" s="14"/>
      <c r="Q568" s="13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1"/>
      <c r="M569" s="11"/>
      <c r="N569" s="11"/>
      <c r="O569" s="11">
        <f t="shared" si="1"/>
        <v>0</v>
      </c>
      <c r="P569" s="14"/>
      <c r="Q569" s="13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1"/>
      <c r="M570" s="11"/>
      <c r="N570" s="11"/>
      <c r="O570" s="11">
        <f t="shared" si="1"/>
        <v>0</v>
      </c>
      <c r="P570" s="14"/>
      <c r="Q570" s="13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1"/>
      <c r="M571" s="11"/>
      <c r="N571" s="11"/>
      <c r="O571" s="11">
        <f t="shared" si="1"/>
        <v>0</v>
      </c>
      <c r="P571" s="14"/>
      <c r="Q571" s="13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1"/>
      <c r="M572" s="11"/>
      <c r="N572" s="11"/>
      <c r="O572" s="11">
        <f t="shared" si="1"/>
        <v>0</v>
      </c>
      <c r="P572" s="14"/>
      <c r="Q572" s="13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1"/>
      <c r="M573" s="11"/>
      <c r="N573" s="11"/>
      <c r="O573" s="11">
        <f t="shared" si="1"/>
        <v>0</v>
      </c>
      <c r="P573" s="14"/>
      <c r="Q573" s="13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1"/>
      <c r="M574" s="11"/>
      <c r="N574" s="11"/>
      <c r="O574" s="11">
        <f t="shared" si="1"/>
        <v>0</v>
      </c>
      <c r="P574" s="14"/>
      <c r="Q574" s="13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1"/>
      <c r="M575" s="11"/>
      <c r="N575" s="11"/>
      <c r="O575" s="11">
        <f t="shared" si="1"/>
        <v>0</v>
      </c>
      <c r="P575" s="14"/>
      <c r="Q575" s="13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1"/>
      <c r="M576" s="11"/>
      <c r="N576" s="11"/>
      <c r="O576" s="11">
        <f t="shared" si="1"/>
        <v>0</v>
      </c>
      <c r="P576" s="14"/>
      <c r="Q576" s="13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1"/>
      <c r="M577" s="11"/>
      <c r="N577" s="11"/>
      <c r="O577" s="11">
        <f t="shared" si="1"/>
        <v>0</v>
      </c>
      <c r="P577" s="14"/>
      <c r="Q577" s="13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1"/>
      <c r="M578" s="11"/>
      <c r="N578" s="11"/>
      <c r="O578" s="11">
        <f t="shared" si="1"/>
        <v>0</v>
      </c>
      <c r="P578" s="14"/>
      <c r="Q578" s="13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1"/>
      <c r="M579" s="11"/>
      <c r="N579" s="11"/>
      <c r="O579" s="11">
        <f t="shared" si="1"/>
        <v>0</v>
      </c>
      <c r="P579" s="14"/>
      <c r="Q579" s="13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1"/>
      <c r="M580" s="11"/>
      <c r="N580" s="11"/>
      <c r="O580" s="11">
        <f t="shared" si="1"/>
        <v>0</v>
      </c>
      <c r="P580" s="14"/>
      <c r="Q580" s="13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1"/>
      <c r="M581" s="11"/>
      <c r="N581" s="11"/>
      <c r="O581" s="11">
        <f t="shared" si="1"/>
        <v>0</v>
      </c>
      <c r="P581" s="14"/>
      <c r="Q581" s="13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1"/>
      <c r="M582" s="11"/>
      <c r="N582" s="11"/>
      <c r="O582" s="11">
        <f t="shared" si="1"/>
        <v>0</v>
      </c>
      <c r="P582" s="14"/>
      <c r="Q582" s="13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1"/>
      <c r="M583" s="11"/>
      <c r="N583" s="11"/>
      <c r="O583" s="11">
        <f t="shared" si="1"/>
        <v>0</v>
      </c>
      <c r="P583" s="14"/>
      <c r="Q583" s="13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1"/>
      <c r="M584" s="11"/>
      <c r="N584" s="11"/>
      <c r="O584" s="11">
        <f t="shared" si="1"/>
        <v>0</v>
      </c>
      <c r="P584" s="14"/>
      <c r="Q584" s="13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1"/>
      <c r="M585" s="11"/>
      <c r="N585" s="11"/>
      <c r="O585" s="11">
        <f t="shared" si="1"/>
        <v>0</v>
      </c>
      <c r="P585" s="14"/>
      <c r="Q585" s="13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1"/>
      <c r="M586" s="11"/>
      <c r="N586" s="11"/>
      <c r="O586" s="11">
        <f t="shared" si="1"/>
        <v>0</v>
      </c>
      <c r="P586" s="14"/>
      <c r="Q586" s="13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1"/>
      <c r="M587" s="11"/>
      <c r="N587" s="11"/>
      <c r="O587" s="11">
        <f t="shared" si="1"/>
        <v>0</v>
      </c>
      <c r="P587" s="14"/>
      <c r="Q587" s="13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1"/>
      <c r="M588" s="11"/>
      <c r="N588" s="11"/>
      <c r="O588" s="11">
        <f t="shared" si="1"/>
        <v>0</v>
      </c>
      <c r="P588" s="14"/>
      <c r="Q588" s="13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1"/>
      <c r="M589" s="11"/>
      <c r="N589" s="11"/>
      <c r="O589" s="11">
        <f t="shared" si="1"/>
        <v>0</v>
      </c>
      <c r="P589" s="14"/>
      <c r="Q589" s="13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1"/>
      <c r="M590" s="11"/>
      <c r="N590" s="11"/>
      <c r="O590" s="11">
        <f t="shared" si="1"/>
        <v>0</v>
      </c>
      <c r="P590" s="14"/>
      <c r="Q590" s="13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1"/>
      <c r="M591" s="11"/>
      <c r="N591" s="11"/>
      <c r="O591" s="11">
        <f t="shared" si="1"/>
        <v>0</v>
      </c>
      <c r="P591" s="14"/>
      <c r="Q591" s="13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1"/>
      <c r="M592" s="11"/>
      <c r="N592" s="11"/>
      <c r="O592" s="11">
        <f t="shared" si="1"/>
        <v>0</v>
      </c>
      <c r="P592" s="14"/>
      <c r="Q592" s="13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1"/>
      <c r="M593" s="11"/>
      <c r="N593" s="11"/>
      <c r="O593" s="11">
        <f t="shared" si="1"/>
        <v>0</v>
      </c>
      <c r="P593" s="14"/>
      <c r="Q593" s="13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1"/>
      <c r="M594" s="11"/>
      <c r="N594" s="11"/>
      <c r="O594" s="11">
        <f t="shared" si="1"/>
        <v>0</v>
      </c>
      <c r="P594" s="14"/>
      <c r="Q594" s="13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1"/>
      <c r="M595" s="11"/>
      <c r="N595" s="11"/>
      <c r="O595" s="11">
        <f t="shared" si="1"/>
        <v>0</v>
      </c>
      <c r="P595" s="14"/>
      <c r="Q595" s="13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1"/>
      <c r="M596" s="11"/>
      <c r="N596" s="11"/>
      <c r="O596" s="11">
        <f t="shared" si="1"/>
        <v>0</v>
      </c>
      <c r="P596" s="14"/>
      <c r="Q596" s="13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1"/>
      <c r="M597" s="11"/>
      <c r="N597" s="11"/>
      <c r="O597" s="11">
        <f t="shared" si="1"/>
        <v>0</v>
      </c>
      <c r="P597" s="14"/>
      <c r="Q597" s="13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1"/>
      <c r="M598" s="11"/>
      <c r="N598" s="11"/>
      <c r="O598" s="11">
        <f t="shared" si="1"/>
        <v>0</v>
      </c>
      <c r="P598" s="14"/>
      <c r="Q598" s="13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1"/>
      <c r="M599" s="11"/>
      <c r="N599" s="11"/>
      <c r="O599" s="11">
        <f t="shared" si="1"/>
        <v>0</v>
      </c>
      <c r="P599" s="14"/>
      <c r="Q599" s="13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1"/>
      <c r="M600" s="11"/>
      <c r="N600" s="11"/>
      <c r="O600" s="11">
        <f t="shared" si="1"/>
        <v>0</v>
      </c>
      <c r="P600" s="14"/>
      <c r="Q600" s="13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1"/>
      <c r="M601" s="11"/>
      <c r="N601" s="11"/>
      <c r="O601" s="11">
        <f t="shared" si="1"/>
        <v>0</v>
      </c>
      <c r="P601" s="14"/>
      <c r="Q601" s="13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1"/>
      <c r="M602" s="11"/>
      <c r="N602" s="11"/>
      <c r="O602" s="11">
        <f t="shared" si="1"/>
        <v>0</v>
      </c>
      <c r="P602" s="14"/>
      <c r="Q602" s="13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1"/>
      <c r="M603" s="11"/>
      <c r="N603" s="11"/>
      <c r="O603" s="11">
        <f t="shared" si="1"/>
        <v>0</v>
      </c>
      <c r="P603" s="14"/>
      <c r="Q603" s="13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1"/>
      <c r="M604" s="11"/>
      <c r="N604" s="11"/>
      <c r="O604" s="11">
        <f t="shared" si="1"/>
        <v>0</v>
      </c>
      <c r="P604" s="14"/>
      <c r="Q604" s="13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1"/>
      <c r="M605" s="11"/>
      <c r="N605" s="11"/>
      <c r="O605" s="11">
        <f t="shared" si="1"/>
        <v>0</v>
      </c>
      <c r="P605" s="14"/>
      <c r="Q605" s="13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1"/>
      <c r="M606" s="11"/>
      <c r="N606" s="11"/>
      <c r="O606" s="11">
        <f t="shared" si="1"/>
        <v>0</v>
      </c>
      <c r="P606" s="14"/>
      <c r="Q606" s="13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1"/>
      <c r="M607" s="11"/>
      <c r="N607" s="11"/>
      <c r="O607" s="11">
        <f t="shared" si="1"/>
        <v>0</v>
      </c>
      <c r="P607" s="14"/>
      <c r="Q607" s="13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1"/>
      <c r="M608" s="11"/>
      <c r="N608" s="11"/>
      <c r="O608" s="11">
        <f t="shared" si="1"/>
        <v>0</v>
      </c>
      <c r="P608" s="14"/>
      <c r="Q608" s="13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1"/>
      <c r="M609" s="11"/>
      <c r="N609" s="11"/>
      <c r="O609" s="11">
        <f t="shared" si="1"/>
        <v>0</v>
      </c>
      <c r="P609" s="14"/>
      <c r="Q609" s="13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1"/>
      <c r="M610" s="11"/>
      <c r="N610" s="11"/>
      <c r="O610" s="11">
        <f t="shared" si="1"/>
        <v>0</v>
      </c>
      <c r="P610" s="14"/>
      <c r="Q610" s="13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1"/>
      <c r="M611" s="11"/>
      <c r="N611" s="11"/>
      <c r="O611" s="11">
        <f t="shared" si="1"/>
        <v>0</v>
      </c>
      <c r="P611" s="14"/>
      <c r="Q611" s="13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1"/>
      <c r="M612" s="11"/>
      <c r="N612" s="11"/>
      <c r="O612" s="11">
        <f t="shared" si="1"/>
        <v>0</v>
      </c>
      <c r="P612" s="14"/>
      <c r="Q612" s="13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1"/>
      <c r="M613" s="11"/>
      <c r="N613" s="11"/>
      <c r="O613" s="11">
        <f t="shared" si="1"/>
        <v>0</v>
      </c>
      <c r="P613" s="14"/>
      <c r="Q613" s="13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1"/>
      <c r="M614" s="11"/>
      <c r="N614" s="11"/>
      <c r="O614" s="11">
        <f t="shared" si="1"/>
        <v>0</v>
      </c>
      <c r="P614" s="14"/>
      <c r="Q614" s="13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1"/>
      <c r="M615" s="11"/>
      <c r="N615" s="11"/>
      <c r="O615" s="11">
        <f t="shared" si="1"/>
        <v>0</v>
      </c>
      <c r="P615" s="14"/>
      <c r="Q615" s="13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1"/>
      <c r="M616" s="11"/>
      <c r="N616" s="11"/>
      <c r="O616" s="11">
        <f t="shared" si="1"/>
        <v>0</v>
      </c>
      <c r="P616" s="14"/>
      <c r="Q616" s="13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1"/>
      <c r="M617" s="11"/>
      <c r="N617" s="11"/>
      <c r="O617" s="11">
        <f t="shared" si="1"/>
        <v>0</v>
      </c>
      <c r="P617" s="14"/>
      <c r="Q617" s="13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1"/>
      <c r="M618" s="11"/>
      <c r="N618" s="11"/>
      <c r="O618" s="11">
        <f t="shared" si="1"/>
        <v>0</v>
      </c>
      <c r="P618" s="14"/>
      <c r="Q618" s="13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1"/>
      <c r="M619" s="11"/>
      <c r="N619" s="11"/>
      <c r="O619" s="11">
        <f t="shared" si="1"/>
        <v>0</v>
      </c>
      <c r="P619" s="14"/>
      <c r="Q619" s="13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1"/>
      <c r="M620" s="11"/>
      <c r="N620" s="11"/>
      <c r="O620" s="11">
        <f t="shared" si="1"/>
        <v>0</v>
      </c>
      <c r="P620" s="14"/>
      <c r="Q620" s="13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1"/>
      <c r="M621" s="11"/>
      <c r="N621" s="11"/>
      <c r="O621" s="11">
        <f t="shared" si="1"/>
        <v>0</v>
      </c>
      <c r="P621" s="14"/>
      <c r="Q621" s="13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1"/>
      <c r="M622" s="11"/>
      <c r="N622" s="11"/>
      <c r="O622" s="11">
        <f t="shared" si="1"/>
        <v>0</v>
      </c>
      <c r="P622" s="14"/>
      <c r="Q622" s="13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1"/>
      <c r="M623" s="11"/>
      <c r="N623" s="11"/>
      <c r="O623" s="11">
        <f t="shared" si="1"/>
        <v>0</v>
      </c>
      <c r="P623" s="14"/>
      <c r="Q623" s="13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1"/>
      <c r="M624" s="11"/>
      <c r="N624" s="11"/>
      <c r="O624" s="11">
        <f t="shared" si="1"/>
        <v>0</v>
      </c>
      <c r="P624" s="14"/>
      <c r="Q624" s="13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1"/>
      <c r="M625" s="11"/>
      <c r="N625" s="11"/>
      <c r="O625" s="11">
        <f t="shared" si="1"/>
        <v>0</v>
      </c>
      <c r="P625" s="14"/>
      <c r="Q625" s="13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1"/>
      <c r="M626" s="11"/>
      <c r="N626" s="11"/>
      <c r="O626" s="11">
        <f t="shared" si="1"/>
        <v>0</v>
      </c>
      <c r="P626" s="14"/>
      <c r="Q626" s="13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1"/>
      <c r="M627" s="11"/>
      <c r="N627" s="11"/>
      <c r="O627" s="11">
        <f t="shared" si="1"/>
        <v>0</v>
      </c>
      <c r="P627" s="14"/>
      <c r="Q627" s="13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1"/>
      <c r="M628" s="11"/>
      <c r="N628" s="11"/>
      <c r="O628" s="11">
        <f t="shared" si="1"/>
        <v>0</v>
      </c>
      <c r="P628" s="14"/>
      <c r="Q628" s="13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1"/>
      <c r="M629" s="11"/>
      <c r="N629" s="11"/>
      <c r="O629" s="11">
        <f t="shared" si="1"/>
        <v>0</v>
      </c>
      <c r="P629" s="14"/>
      <c r="Q629" s="13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1"/>
      <c r="M630" s="11"/>
      <c r="N630" s="11"/>
      <c r="O630" s="11">
        <f t="shared" si="1"/>
        <v>0</v>
      </c>
      <c r="P630" s="14"/>
      <c r="Q630" s="13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1"/>
      <c r="M631" s="11"/>
      <c r="N631" s="11"/>
      <c r="O631" s="11">
        <f t="shared" si="1"/>
        <v>0</v>
      </c>
      <c r="P631" s="14"/>
      <c r="Q631" s="13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1"/>
      <c r="M632" s="11"/>
      <c r="N632" s="11"/>
      <c r="O632" s="11">
        <f t="shared" si="1"/>
        <v>0</v>
      </c>
      <c r="P632" s="14"/>
      <c r="Q632" s="13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1"/>
      <c r="M633" s="11"/>
      <c r="N633" s="11"/>
      <c r="O633" s="11">
        <f t="shared" si="1"/>
        <v>0</v>
      </c>
      <c r="P633" s="14"/>
      <c r="Q633" s="13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1"/>
      <c r="M634" s="11"/>
      <c r="N634" s="11"/>
      <c r="O634" s="11">
        <f t="shared" si="1"/>
        <v>0</v>
      </c>
      <c r="P634" s="14"/>
      <c r="Q634" s="13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1"/>
      <c r="M635" s="11"/>
      <c r="N635" s="11"/>
      <c r="O635" s="11">
        <f t="shared" si="1"/>
        <v>0</v>
      </c>
      <c r="P635" s="14"/>
      <c r="Q635" s="13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1"/>
      <c r="M636" s="11"/>
      <c r="N636" s="11"/>
      <c r="O636" s="11">
        <f t="shared" si="1"/>
        <v>0</v>
      </c>
      <c r="P636" s="14"/>
      <c r="Q636" s="13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1"/>
      <c r="M637" s="11"/>
      <c r="N637" s="11"/>
      <c r="O637" s="11">
        <f t="shared" si="1"/>
        <v>0</v>
      </c>
      <c r="P637" s="14"/>
      <c r="Q637" s="13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1"/>
      <c r="M638" s="11"/>
      <c r="N638" s="11"/>
      <c r="O638" s="11">
        <f t="shared" si="1"/>
        <v>0</v>
      </c>
      <c r="P638" s="14"/>
      <c r="Q638" s="13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1"/>
      <c r="M639" s="11"/>
      <c r="N639" s="11"/>
      <c r="O639" s="11">
        <f t="shared" si="1"/>
        <v>0</v>
      </c>
      <c r="P639" s="14"/>
      <c r="Q639" s="13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1"/>
      <c r="M640" s="11"/>
      <c r="N640" s="11"/>
      <c r="O640" s="11">
        <f t="shared" si="1"/>
        <v>0</v>
      </c>
      <c r="P640" s="14"/>
      <c r="Q640" s="13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1"/>
      <c r="M641" s="11"/>
      <c r="N641" s="11"/>
      <c r="O641" s="11">
        <f t="shared" si="1"/>
        <v>0</v>
      </c>
      <c r="P641" s="14"/>
      <c r="Q641" s="13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1"/>
      <c r="M642" s="11"/>
      <c r="N642" s="11"/>
      <c r="O642" s="11">
        <f t="shared" si="1"/>
        <v>0</v>
      </c>
      <c r="P642" s="14"/>
      <c r="Q642" s="13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1"/>
      <c r="M643" s="11"/>
      <c r="N643" s="11"/>
      <c r="O643" s="11">
        <f t="shared" si="1"/>
        <v>0</v>
      </c>
      <c r="P643" s="14"/>
      <c r="Q643" s="13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1"/>
      <c r="M644" s="11"/>
      <c r="N644" s="11"/>
      <c r="O644" s="11">
        <f t="shared" si="1"/>
        <v>0</v>
      </c>
      <c r="P644" s="14"/>
      <c r="Q644" s="13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1"/>
      <c r="M645" s="11"/>
      <c r="N645" s="11"/>
      <c r="O645" s="11">
        <f t="shared" si="1"/>
        <v>0</v>
      </c>
      <c r="P645" s="14"/>
      <c r="Q645" s="13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1"/>
      <c r="M646" s="11"/>
      <c r="N646" s="11"/>
      <c r="O646" s="11">
        <f t="shared" si="1"/>
        <v>0</v>
      </c>
      <c r="P646" s="14"/>
      <c r="Q646" s="13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1"/>
      <c r="M647" s="11"/>
      <c r="N647" s="11"/>
      <c r="O647" s="11">
        <f t="shared" si="1"/>
        <v>0</v>
      </c>
      <c r="P647" s="14"/>
      <c r="Q647" s="13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1"/>
      <c r="M648" s="11"/>
      <c r="N648" s="11"/>
      <c r="O648" s="11">
        <f t="shared" si="1"/>
        <v>0</v>
      </c>
      <c r="P648" s="14"/>
      <c r="Q648" s="13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1"/>
      <c r="M649" s="11"/>
      <c r="N649" s="11"/>
      <c r="O649" s="11">
        <f t="shared" si="1"/>
        <v>0</v>
      </c>
      <c r="P649" s="14"/>
      <c r="Q649" s="13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1"/>
      <c r="M650" s="11"/>
      <c r="N650" s="11"/>
      <c r="O650" s="11">
        <f t="shared" si="1"/>
        <v>0</v>
      </c>
      <c r="P650" s="14"/>
      <c r="Q650" s="13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1"/>
      <c r="M651" s="11"/>
      <c r="N651" s="11"/>
      <c r="O651" s="11">
        <f t="shared" si="1"/>
        <v>0</v>
      </c>
      <c r="P651" s="14"/>
      <c r="Q651" s="13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1"/>
      <c r="M652" s="11"/>
      <c r="N652" s="11"/>
      <c r="O652" s="11">
        <f t="shared" si="1"/>
        <v>0</v>
      </c>
      <c r="P652" s="14"/>
      <c r="Q652" s="13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1"/>
      <c r="M653" s="11"/>
      <c r="N653" s="11"/>
      <c r="O653" s="11">
        <f t="shared" si="1"/>
        <v>0</v>
      </c>
      <c r="P653" s="14"/>
      <c r="Q653" s="13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1"/>
      <c r="M654" s="11"/>
      <c r="N654" s="11"/>
      <c r="O654" s="11">
        <f t="shared" si="1"/>
        <v>0</v>
      </c>
      <c r="P654" s="14"/>
      <c r="Q654" s="13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1"/>
      <c r="M655" s="11"/>
      <c r="N655" s="11"/>
      <c r="O655" s="11">
        <f t="shared" si="1"/>
        <v>0</v>
      </c>
      <c r="P655" s="14"/>
      <c r="Q655" s="13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1"/>
      <c r="M656" s="11"/>
      <c r="N656" s="11"/>
      <c r="O656" s="11">
        <f t="shared" si="1"/>
        <v>0</v>
      </c>
      <c r="P656" s="14"/>
      <c r="Q656" s="13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1"/>
      <c r="M657" s="11"/>
      <c r="N657" s="11"/>
      <c r="O657" s="11">
        <f t="shared" si="1"/>
        <v>0</v>
      </c>
      <c r="P657" s="14"/>
      <c r="Q657" s="13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1"/>
      <c r="M658" s="11"/>
      <c r="N658" s="11"/>
      <c r="O658" s="11">
        <f t="shared" si="1"/>
        <v>0</v>
      </c>
      <c r="P658" s="14"/>
      <c r="Q658" s="13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1"/>
      <c r="M659" s="11"/>
      <c r="N659" s="11"/>
      <c r="O659" s="11">
        <f t="shared" si="1"/>
        <v>0</v>
      </c>
      <c r="P659" s="14"/>
      <c r="Q659" s="13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1"/>
      <c r="M660" s="11"/>
      <c r="N660" s="11"/>
      <c r="O660" s="11">
        <f t="shared" si="1"/>
        <v>0</v>
      </c>
      <c r="P660" s="14"/>
      <c r="Q660" s="13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1"/>
      <c r="M661" s="11"/>
      <c r="N661" s="11"/>
      <c r="O661" s="11">
        <f t="shared" si="1"/>
        <v>0</v>
      </c>
      <c r="P661" s="14"/>
      <c r="Q661" s="13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1"/>
      <c r="M662" s="11"/>
      <c r="N662" s="11"/>
      <c r="O662" s="11">
        <f t="shared" si="1"/>
        <v>0</v>
      </c>
      <c r="P662" s="14"/>
      <c r="Q662" s="13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1"/>
      <c r="M663" s="11"/>
      <c r="N663" s="11"/>
      <c r="O663" s="11">
        <f t="shared" si="1"/>
        <v>0</v>
      </c>
      <c r="P663" s="14"/>
      <c r="Q663" s="13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1"/>
      <c r="M664" s="11"/>
      <c r="N664" s="11"/>
      <c r="O664" s="11">
        <f t="shared" si="1"/>
        <v>0</v>
      </c>
      <c r="P664" s="14"/>
      <c r="Q664" s="13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1"/>
      <c r="M665" s="11"/>
      <c r="N665" s="11"/>
      <c r="O665" s="11">
        <f t="shared" si="1"/>
        <v>0</v>
      </c>
      <c r="P665" s="14"/>
      <c r="Q665" s="13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1"/>
      <c r="M666" s="11"/>
      <c r="N666" s="11"/>
      <c r="O666" s="11">
        <f t="shared" si="1"/>
        <v>0</v>
      </c>
      <c r="P666" s="14"/>
      <c r="Q666" s="13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1"/>
      <c r="M667" s="11"/>
      <c r="N667" s="11"/>
      <c r="O667" s="11">
        <f t="shared" si="1"/>
        <v>0</v>
      </c>
      <c r="P667" s="14"/>
      <c r="Q667" s="13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1"/>
      <c r="M668" s="11"/>
      <c r="N668" s="11"/>
      <c r="O668" s="11">
        <f t="shared" si="1"/>
        <v>0</v>
      </c>
      <c r="P668" s="14"/>
      <c r="Q668" s="13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1"/>
      <c r="M669" s="11"/>
      <c r="N669" s="11"/>
      <c r="O669" s="11">
        <f t="shared" si="1"/>
        <v>0</v>
      </c>
      <c r="P669" s="14"/>
      <c r="Q669" s="13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1"/>
      <c r="M670" s="11"/>
      <c r="N670" s="11"/>
      <c r="O670" s="11">
        <f t="shared" si="1"/>
        <v>0</v>
      </c>
      <c r="P670" s="14"/>
      <c r="Q670" s="13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1"/>
      <c r="M671" s="11"/>
      <c r="N671" s="11"/>
      <c r="O671" s="11">
        <f t="shared" si="1"/>
        <v>0</v>
      </c>
      <c r="P671" s="14"/>
      <c r="Q671" s="13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1"/>
      <c r="M672" s="11"/>
      <c r="N672" s="11"/>
      <c r="O672" s="11">
        <f t="shared" si="1"/>
        <v>0</v>
      </c>
      <c r="P672" s="14"/>
      <c r="Q672" s="13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1"/>
      <c r="M673" s="11"/>
      <c r="N673" s="11"/>
      <c r="O673" s="11">
        <f t="shared" si="1"/>
        <v>0</v>
      </c>
      <c r="P673" s="14"/>
      <c r="Q673" s="13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1"/>
      <c r="M674" s="11"/>
      <c r="N674" s="11"/>
      <c r="O674" s="11">
        <f t="shared" si="1"/>
        <v>0</v>
      </c>
      <c r="P674" s="14"/>
      <c r="Q674" s="13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1"/>
      <c r="M675" s="11"/>
      <c r="N675" s="11"/>
      <c r="O675" s="11">
        <f t="shared" si="1"/>
        <v>0</v>
      </c>
      <c r="P675" s="14"/>
      <c r="Q675" s="13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1"/>
      <c r="M676" s="11"/>
      <c r="N676" s="11"/>
      <c r="O676" s="11">
        <f t="shared" si="1"/>
        <v>0</v>
      </c>
      <c r="P676" s="14"/>
      <c r="Q676" s="13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1"/>
      <c r="M677" s="11"/>
      <c r="N677" s="11"/>
      <c r="O677" s="11">
        <f t="shared" si="1"/>
        <v>0</v>
      </c>
      <c r="P677" s="14"/>
      <c r="Q677" s="13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1"/>
      <c r="M678" s="11"/>
      <c r="N678" s="11"/>
      <c r="O678" s="11">
        <f t="shared" si="1"/>
        <v>0</v>
      </c>
      <c r="P678" s="14"/>
      <c r="Q678" s="13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1"/>
      <c r="M679" s="11"/>
      <c r="N679" s="11"/>
      <c r="O679" s="11">
        <f t="shared" si="1"/>
        <v>0</v>
      </c>
      <c r="P679" s="14"/>
      <c r="Q679" s="13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1"/>
      <c r="M680" s="11"/>
      <c r="N680" s="11"/>
      <c r="O680" s="11">
        <f t="shared" si="1"/>
        <v>0</v>
      </c>
      <c r="P680" s="14"/>
      <c r="Q680" s="13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1"/>
      <c r="M681" s="11"/>
      <c r="N681" s="11"/>
      <c r="O681" s="11">
        <f t="shared" si="1"/>
        <v>0</v>
      </c>
      <c r="P681" s="14"/>
      <c r="Q681" s="13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1"/>
      <c r="M682" s="11"/>
      <c r="N682" s="11"/>
      <c r="O682" s="11">
        <f t="shared" si="1"/>
        <v>0</v>
      </c>
      <c r="P682" s="14"/>
      <c r="Q682" s="13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1"/>
      <c r="M683" s="11"/>
      <c r="N683" s="11"/>
      <c r="O683" s="11">
        <f t="shared" si="1"/>
        <v>0</v>
      </c>
      <c r="P683" s="14"/>
      <c r="Q683" s="13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1"/>
      <c r="M684" s="11"/>
      <c r="N684" s="11"/>
      <c r="O684" s="11">
        <f t="shared" si="1"/>
        <v>0</v>
      </c>
      <c r="P684" s="14"/>
      <c r="Q684" s="13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1"/>
      <c r="M685" s="11"/>
      <c r="N685" s="11"/>
      <c r="O685" s="11">
        <f t="shared" si="1"/>
        <v>0</v>
      </c>
      <c r="P685" s="14"/>
      <c r="Q685" s="13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1"/>
      <c r="M686" s="11"/>
      <c r="N686" s="11"/>
      <c r="O686" s="11">
        <f t="shared" si="1"/>
        <v>0</v>
      </c>
      <c r="P686" s="14"/>
      <c r="Q686" s="13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1"/>
      <c r="M687" s="11"/>
      <c r="N687" s="11"/>
      <c r="O687" s="11">
        <f t="shared" si="1"/>
        <v>0</v>
      </c>
      <c r="P687" s="14"/>
      <c r="Q687" s="13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1"/>
      <c r="M688" s="11"/>
      <c r="N688" s="11"/>
      <c r="O688" s="11">
        <f t="shared" si="1"/>
        <v>0</v>
      </c>
      <c r="P688" s="14"/>
      <c r="Q688" s="13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1"/>
      <c r="M689" s="11"/>
      <c r="N689" s="11"/>
      <c r="O689" s="11">
        <f t="shared" si="1"/>
        <v>0</v>
      </c>
      <c r="P689" s="14"/>
      <c r="Q689" s="13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1"/>
      <c r="M690" s="11"/>
      <c r="N690" s="11"/>
      <c r="O690" s="11">
        <f t="shared" si="1"/>
        <v>0</v>
      </c>
      <c r="P690" s="14"/>
      <c r="Q690" s="13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1"/>
      <c r="M691" s="11"/>
      <c r="N691" s="11"/>
      <c r="O691" s="11">
        <f t="shared" si="1"/>
        <v>0</v>
      </c>
      <c r="P691" s="14"/>
      <c r="Q691" s="13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1"/>
      <c r="M692" s="11"/>
      <c r="N692" s="11"/>
      <c r="O692" s="11">
        <f t="shared" si="1"/>
        <v>0</v>
      </c>
      <c r="P692" s="14"/>
      <c r="Q692" s="13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1"/>
      <c r="M693" s="11"/>
      <c r="N693" s="11"/>
      <c r="O693" s="11">
        <f t="shared" si="1"/>
        <v>0</v>
      </c>
      <c r="P693" s="14"/>
      <c r="Q693" s="13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1"/>
      <c r="M694" s="11"/>
      <c r="N694" s="11"/>
      <c r="O694" s="11">
        <f t="shared" si="1"/>
        <v>0</v>
      </c>
      <c r="P694" s="14"/>
      <c r="Q694" s="13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1"/>
      <c r="M695" s="11"/>
      <c r="N695" s="11"/>
      <c r="O695" s="11">
        <f t="shared" si="1"/>
        <v>0</v>
      </c>
      <c r="P695" s="14"/>
      <c r="Q695" s="13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1"/>
      <c r="M696" s="11"/>
      <c r="N696" s="11"/>
      <c r="O696" s="11">
        <f t="shared" si="1"/>
        <v>0</v>
      </c>
      <c r="P696" s="14"/>
      <c r="Q696" s="13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1"/>
      <c r="M697" s="11"/>
      <c r="N697" s="11"/>
      <c r="O697" s="11">
        <f t="shared" si="1"/>
        <v>0</v>
      </c>
      <c r="P697" s="14"/>
      <c r="Q697" s="13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1"/>
      <c r="M698" s="11"/>
      <c r="N698" s="11"/>
      <c r="O698" s="11">
        <f t="shared" si="1"/>
        <v>0</v>
      </c>
      <c r="P698" s="14"/>
      <c r="Q698" s="13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1"/>
      <c r="M699" s="11"/>
      <c r="N699" s="11"/>
      <c r="O699" s="11">
        <f t="shared" si="1"/>
        <v>0</v>
      </c>
      <c r="P699" s="14"/>
      <c r="Q699" s="13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1"/>
      <c r="M700" s="11"/>
      <c r="N700" s="11"/>
      <c r="O700" s="11">
        <f t="shared" si="1"/>
        <v>0</v>
      </c>
      <c r="P700" s="14"/>
      <c r="Q700" s="13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1"/>
      <c r="M701" s="11"/>
      <c r="N701" s="11"/>
      <c r="O701" s="11">
        <f t="shared" si="1"/>
        <v>0</v>
      </c>
      <c r="P701" s="14"/>
      <c r="Q701" s="13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1"/>
      <c r="M702" s="11"/>
      <c r="N702" s="11"/>
      <c r="O702" s="11">
        <f t="shared" si="1"/>
        <v>0</v>
      </c>
      <c r="P702" s="14"/>
      <c r="Q702" s="13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1"/>
      <c r="M703" s="11"/>
      <c r="N703" s="11"/>
      <c r="O703" s="11">
        <f t="shared" si="1"/>
        <v>0</v>
      </c>
      <c r="P703" s="14"/>
      <c r="Q703" s="13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1"/>
      <c r="M704" s="11"/>
      <c r="N704" s="11"/>
      <c r="O704" s="11">
        <f t="shared" si="1"/>
        <v>0</v>
      </c>
      <c r="P704" s="14"/>
      <c r="Q704" s="13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1"/>
      <c r="M705" s="11"/>
      <c r="N705" s="11"/>
      <c r="O705" s="11">
        <f t="shared" si="1"/>
        <v>0</v>
      </c>
      <c r="P705" s="14"/>
      <c r="Q705" s="13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1"/>
      <c r="M706" s="11"/>
      <c r="N706" s="11"/>
      <c r="O706" s="11">
        <f t="shared" si="1"/>
        <v>0</v>
      </c>
      <c r="P706" s="14"/>
      <c r="Q706" s="13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1"/>
      <c r="M707" s="11"/>
      <c r="N707" s="11"/>
      <c r="O707" s="11">
        <f t="shared" si="1"/>
        <v>0</v>
      </c>
      <c r="P707" s="14"/>
      <c r="Q707" s="13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1"/>
      <c r="M708" s="11"/>
      <c r="N708" s="11"/>
      <c r="O708" s="11">
        <f t="shared" si="1"/>
        <v>0</v>
      </c>
      <c r="P708" s="14"/>
      <c r="Q708" s="13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1"/>
      <c r="M709" s="11"/>
      <c r="N709" s="11"/>
      <c r="O709" s="11">
        <f t="shared" si="1"/>
        <v>0</v>
      </c>
      <c r="P709" s="14"/>
      <c r="Q709" s="13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1"/>
      <c r="M710" s="11"/>
      <c r="N710" s="11"/>
      <c r="O710" s="11">
        <f t="shared" si="1"/>
        <v>0</v>
      </c>
      <c r="P710" s="14"/>
      <c r="Q710" s="13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1"/>
      <c r="M711" s="11"/>
      <c r="N711" s="11"/>
      <c r="O711" s="11">
        <f t="shared" si="1"/>
        <v>0</v>
      </c>
      <c r="P711" s="14"/>
      <c r="Q711" s="13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1"/>
      <c r="M712" s="11"/>
      <c r="N712" s="11"/>
      <c r="O712" s="11">
        <f t="shared" si="1"/>
        <v>0</v>
      </c>
      <c r="P712" s="14"/>
      <c r="Q712" s="13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1"/>
      <c r="M713" s="11"/>
      <c r="N713" s="11"/>
      <c r="O713" s="11">
        <f t="shared" si="1"/>
        <v>0</v>
      </c>
      <c r="P713" s="14"/>
      <c r="Q713" s="13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1"/>
      <c r="M714" s="11"/>
      <c r="N714" s="11"/>
      <c r="O714" s="11">
        <f t="shared" si="1"/>
        <v>0</v>
      </c>
      <c r="P714" s="14"/>
      <c r="Q714" s="13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1"/>
      <c r="M715" s="11"/>
      <c r="N715" s="11"/>
      <c r="O715" s="11">
        <f t="shared" si="1"/>
        <v>0</v>
      </c>
      <c r="P715" s="14"/>
      <c r="Q715" s="13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1"/>
      <c r="M716" s="11"/>
      <c r="N716" s="11"/>
      <c r="O716" s="11">
        <f t="shared" si="1"/>
        <v>0</v>
      </c>
      <c r="P716" s="14"/>
      <c r="Q716" s="13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1"/>
      <c r="M717" s="11"/>
      <c r="N717" s="11"/>
      <c r="O717" s="11">
        <f t="shared" si="1"/>
        <v>0</v>
      </c>
      <c r="P717" s="14"/>
      <c r="Q717" s="13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1"/>
      <c r="M718" s="11"/>
      <c r="N718" s="11"/>
      <c r="O718" s="11">
        <f t="shared" si="1"/>
        <v>0</v>
      </c>
      <c r="P718" s="14"/>
      <c r="Q718" s="13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1"/>
      <c r="M719" s="11"/>
      <c r="N719" s="11"/>
      <c r="O719" s="11">
        <f t="shared" si="1"/>
        <v>0</v>
      </c>
      <c r="P719" s="14"/>
      <c r="Q719" s="13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1"/>
      <c r="M720" s="11"/>
      <c r="N720" s="11"/>
      <c r="O720" s="11">
        <f t="shared" si="1"/>
        <v>0</v>
      </c>
      <c r="P720" s="14"/>
      <c r="Q720" s="13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1"/>
      <c r="M721" s="11"/>
      <c r="N721" s="11"/>
      <c r="O721" s="11">
        <f t="shared" si="1"/>
        <v>0</v>
      </c>
      <c r="P721" s="14"/>
      <c r="Q721" s="13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1"/>
      <c r="M722" s="11"/>
      <c r="N722" s="11"/>
      <c r="O722" s="11">
        <f t="shared" si="1"/>
        <v>0</v>
      </c>
      <c r="P722" s="14"/>
      <c r="Q722" s="13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1"/>
      <c r="M723" s="11"/>
      <c r="N723" s="11"/>
      <c r="O723" s="11">
        <f t="shared" si="1"/>
        <v>0</v>
      </c>
      <c r="P723" s="14"/>
      <c r="Q723" s="13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1"/>
      <c r="M724" s="11"/>
      <c r="N724" s="11"/>
      <c r="O724" s="11">
        <f t="shared" si="1"/>
        <v>0</v>
      </c>
      <c r="P724" s="14"/>
      <c r="Q724" s="13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1"/>
      <c r="M725" s="11"/>
      <c r="N725" s="11"/>
      <c r="O725" s="11">
        <f t="shared" si="1"/>
        <v>0</v>
      </c>
      <c r="P725" s="14"/>
      <c r="Q725" s="13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1"/>
      <c r="M726" s="11"/>
      <c r="N726" s="11"/>
      <c r="O726" s="11">
        <f t="shared" si="1"/>
        <v>0</v>
      </c>
      <c r="P726" s="14"/>
      <c r="Q726" s="13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1"/>
      <c r="M727" s="11"/>
      <c r="N727" s="11"/>
      <c r="O727" s="11">
        <f t="shared" si="1"/>
        <v>0</v>
      </c>
      <c r="P727" s="14"/>
      <c r="Q727" s="13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1"/>
      <c r="M728" s="11"/>
      <c r="N728" s="11"/>
      <c r="O728" s="11">
        <f t="shared" si="1"/>
        <v>0</v>
      </c>
      <c r="P728" s="14"/>
      <c r="Q728" s="13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1"/>
      <c r="M729" s="11"/>
      <c r="N729" s="11"/>
      <c r="O729" s="11">
        <f t="shared" si="1"/>
        <v>0</v>
      </c>
      <c r="P729" s="14"/>
      <c r="Q729" s="13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1"/>
      <c r="M730" s="11"/>
      <c r="N730" s="11"/>
      <c r="O730" s="11">
        <f t="shared" si="1"/>
        <v>0</v>
      </c>
      <c r="P730" s="14"/>
      <c r="Q730" s="13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1"/>
      <c r="M731" s="11"/>
      <c r="N731" s="11"/>
      <c r="O731" s="11">
        <f t="shared" si="1"/>
        <v>0</v>
      </c>
      <c r="P731" s="14"/>
      <c r="Q731" s="13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1"/>
      <c r="M732" s="11"/>
      <c r="N732" s="11"/>
      <c r="O732" s="11">
        <f t="shared" si="1"/>
        <v>0</v>
      </c>
      <c r="P732" s="14"/>
      <c r="Q732" s="13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1"/>
      <c r="M733" s="11"/>
      <c r="N733" s="11"/>
      <c r="O733" s="11">
        <f t="shared" si="1"/>
        <v>0</v>
      </c>
      <c r="P733" s="14"/>
      <c r="Q733" s="13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1"/>
      <c r="M734" s="11"/>
      <c r="N734" s="11"/>
      <c r="O734" s="11">
        <f t="shared" si="1"/>
        <v>0</v>
      </c>
      <c r="P734" s="14"/>
      <c r="Q734" s="13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1"/>
      <c r="M735" s="11"/>
      <c r="N735" s="11"/>
      <c r="O735" s="11">
        <f t="shared" si="1"/>
        <v>0</v>
      </c>
      <c r="P735" s="14"/>
      <c r="Q735" s="13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1"/>
      <c r="M736" s="11"/>
      <c r="N736" s="11"/>
      <c r="O736" s="11">
        <f t="shared" si="1"/>
        <v>0</v>
      </c>
      <c r="P736" s="14"/>
      <c r="Q736" s="13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1"/>
      <c r="M737" s="11"/>
      <c r="N737" s="11"/>
      <c r="O737" s="11">
        <f t="shared" si="1"/>
        <v>0</v>
      </c>
      <c r="P737" s="14"/>
      <c r="Q737" s="13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1"/>
      <c r="M738" s="11"/>
      <c r="N738" s="11"/>
      <c r="O738" s="11">
        <f t="shared" si="1"/>
        <v>0</v>
      </c>
      <c r="P738" s="14"/>
      <c r="Q738" s="13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1"/>
      <c r="M739" s="11"/>
      <c r="N739" s="11"/>
      <c r="O739" s="11">
        <f t="shared" si="1"/>
        <v>0</v>
      </c>
      <c r="P739" s="14"/>
      <c r="Q739" s="13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1"/>
      <c r="M740" s="11"/>
      <c r="N740" s="11"/>
      <c r="O740" s="11">
        <f t="shared" si="1"/>
        <v>0</v>
      </c>
      <c r="P740" s="14"/>
      <c r="Q740" s="13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1"/>
      <c r="M741" s="11"/>
      <c r="N741" s="11"/>
      <c r="O741" s="11">
        <f t="shared" si="1"/>
        <v>0</v>
      </c>
      <c r="P741" s="14"/>
      <c r="Q741" s="13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1"/>
      <c r="M742" s="11"/>
      <c r="N742" s="11"/>
      <c r="O742" s="11">
        <f t="shared" si="1"/>
        <v>0</v>
      </c>
      <c r="P742" s="14"/>
      <c r="Q742" s="13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1"/>
      <c r="M743" s="11"/>
      <c r="N743" s="11"/>
      <c r="O743" s="11">
        <f t="shared" si="1"/>
        <v>0</v>
      </c>
      <c r="P743" s="14"/>
      <c r="Q743" s="13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1"/>
      <c r="M744" s="11"/>
      <c r="N744" s="11"/>
      <c r="O744" s="11">
        <f t="shared" si="1"/>
        <v>0</v>
      </c>
      <c r="P744" s="14"/>
      <c r="Q744" s="13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1"/>
      <c r="M745" s="11"/>
      <c r="N745" s="11"/>
      <c r="O745" s="11">
        <f t="shared" si="1"/>
        <v>0</v>
      </c>
      <c r="P745" s="14"/>
      <c r="Q745" s="13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1"/>
      <c r="M746" s="11"/>
      <c r="N746" s="11"/>
      <c r="O746" s="11">
        <f t="shared" si="1"/>
        <v>0</v>
      </c>
      <c r="P746" s="14"/>
      <c r="Q746" s="13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1"/>
      <c r="M747" s="11"/>
      <c r="N747" s="11"/>
      <c r="O747" s="11">
        <f t="shared" si="1"/>
        <v>0</v>
      </c>
      <c r="P747" s="14"/>
      <c r="Q747" s="13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1"/>
      <c r="M748" s="11"/>
      <c r="N748" s="11"/>
      <c r="O748" s="11">
        <f t="shared" si="1"/>
        <v>0</v>
      </c>
      <c r="P748" s="14"/>
      <c r="Q748" s="13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1"/>
      <c r="M749" s="11"/>
      <c r="N749" s="11"/>
      <c r="O749" s="11">
        <f t="shared" si="1"/>
        <v>0</v>
      </c>
      <c r="P749" s="14"/>
      <c r="Q749" s="13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1"/>
      <c r="M750" s="11"/>
      <c r="N750" s="11"/>
      <c r="O750" s="11">
        <f t="shared" si="1"/>
        <v>0</v>
      </c>
      <c r="P750" s="14"/>
      <c r="Q750" s="13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1"/>
      <c r="M751" s="11"/>
      <c r="N751" s="11"/>
      <c r="O751" s="11">
        <f t="shared" si="1"/>
        <v>0</v>
      </c>
      <c r="P751" s="14"/>
      <c r="Q751" s="13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1"/>
      <c r="M752" s="11"/>
      <c r="N752" s="11"/>
      <c r="O752" s="11">
        <f t="shared" si="1"/>
        <v>0</v>
      </c>
      <c r="P752" s="14"/>
      <c r="Q752" s="13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1"/>
      <c r="M753" s="11"/>
      <c r="N753" s="11"/>
      <c r="O753" s="11">
        <f t="shared" si="1"/>
        <v>0</v>
      </c>
      <c r="P753" s="14"/>
      <c r="Q753" s="13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1"/>
      <c r="M754" s="11"/>
      <c r="N754" s="11"/>
      <c r="O754" s="11">
        <f t="shared" si="1"/>
        <v>0</v>
      </c>
      <c r="P754" s="14"/>
      <c r="Q754" s="13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1"/>
      <c r="M755" s="11"/>
      <c r="N755" s="11"/>
      <c r="O755" s="11">
        <f t="shared" si="1"/>
        <v>0</v>
      </c>
      <c r="P755" s="14"/>
      <c r="Q755" s="13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1"/>
      <c r="M756" s="11"/>
      <c r="N756" s="11"/>
      <c r="O756" s="11">
        <f t="shared" si="1"/>
        <v>0</v>
      </c>
      <c r="P756" s="14"/>
      <c r="Q756" s="13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1"/>
      <c r="M757" s="11"/>
      <c r="N757" s="11"/>
      <c r="O757" s="11">
        <f t="shared" si="1"/>
        <v>0</v>
      </c>
      <c r="P757" s="14"/>
      <c r="Q757" s="13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1"/>
      <c r="M758" s="11"/>
      <c r="N758" s="11"/>
      <c r="O758" s="11">
        <f t="shared" si="1"/>
        <v>0</v>
      </c>
      <c r="P758" s="14"/>
      <c r="Q758" s="13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1"/>
      <c r="M759" s="11"/>
      <c r="N759" s="11"/>
      <c r="O759" s="11">
        <f t="shared" si="1"/>
        <v>0</v>
      </c>
      <c r="P759" s="14"/>
      <c r="Q759" s="13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1"/>
      <c r="M760" s="11"/>
      <c r="N760" s="11"/>
      <c r="O760" s="11">
        <f t="shared" si="1"/>
        <v>0</v>
      </c>
      <c r="P760" s="14"/>
      <c r="Q760" s="13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1"/>
      <c r="M761" s="11"/>
      <c r="N761" s="11"/>
      <c r="O761" s="11">
        <f t="shared" si="1"/>
        <v>0</v>
      </c>
      <c r="P761" s="14"/>
      <c r="Q761" s="13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1"/>
      <c r="M762" s="11"/>
      <c r="N762" s="11"/>
      <c r="O762" s="11">
        <f t="shared" si="1"/>
        <v>0</v>
      </c>
      <c r="P762" s="14"/>
      <c r="Q762" s="13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1"/>
      <c r="M763" s="11"/>
      <c r="N763" s="11"/>
      <c r="O763" s="11">
        <f t="shared" si="1"/>
        <v>0</v>
      </c>
      <c r="P763" s="14"/>
      <c r="Q763" s="13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1"/>
      <c r="M764" s="11"/>
      <c r="N764" s="11"/>
      <c r="O764" s="11">
        <f t="shared" si="1"/>
        <v>0</v>
      </c>
      <c r="P764" s="14"/>
      <c r="Q764" s="13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1"/>
      <c r="M765" s="11"/>
      <c r="N765" s="11"/>
      <c r="O765" s="11">
        <f t="shared" si="1"/>
        <v>0</v>
      </c>
      <c r="P765" s="14"/>
      <c r="Q765" s="13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1"/>
      <c r="M766" s="11"/>
      <c r="N766" s="11"/>
      <c r="O766" s="11">
        <f t="shared" si="1"/>
        <v>0</v>
      </c>
      <c r="P766" s="14"/>
      <c r="Q766" s="13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1"/>
      <c r="M767" s="11"/>
      <c r="N767" s="11"/>
      <c r="O767" s="11">
        <f t="shared" si="1"/>
        <v>0</v>
      </c>
      <c r="P767" s="14"/>
      <c r="Q767" s="13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1"/>
      <c r="M768" s="11"/>
      <c r="N768" s="11"/>
      <c r="O768" s="11">
        <f t="shared" si="1"/>
        <v>0</v>
      </c>
      <c r="P768" s="14"/>
      <c r="Q768" s="13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1"/>
      <c r="M769" s="11"/>
      <c r="N769" s="11"/>
      <c r="O769" s="11">
        <f t="shared" si="1"/>
        <v>0</v>
      </c>
      <c r="P769" s="14"/>
      <c r="Q769" s="13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1"/>
      <c r="M770" s="11"/>
      <c r="N770" s="11"/>
      <c r="O770" s="11">
        <f t="shared" si="1"/>
        <v>0</v>
      </c>
      <c r="P770" s="14"/>
      <c r="Q770" s="13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1"/>
      <c r="M771" s="11"/>
      <c r="N771" s="11"/>
      <c r="O771" s="11">
        <f t="shared" si="1"/>
        <v>0</v>
      </c>
      <c r="P771" s="14"/>
      <c r="Q771" s="13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1"/>
      <c r="M772" s="11"/>
      <c r="N772" s="11"/>
      <c r="O772" s="11">
        <f t="shared" si="1"/>
        <v>0</v>
      </c>
      <c r="P772" s="14"/>
      <c r="Q772" s="13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1"/>
      <c r="M773" s="11"/>
      <c r="N773" s="11"/>
      <c r="O773" s="11">
        <f t="shared" si="1"/>
        <v>0</v>
      </c>
      <c r="P773" s="14"/>
      <c r="Q773" s="13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1"/>
      <c r="M774" s="11"/>
      <c r="N774" s="11"/>
      <c r="O774" s="11">
        <f t="shared" si="1"/>
        <v>0</v>
      </c>
      <c r="P774" s="14"/>
      <c r="Q774" s="13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1"/>
      <c r="M775" s="11"/>
      <c r="N775" s="11"/>
      <c r="O775" s="11">
        <f t="shared" si="1"/>
        <v>0</v>
      </c>
      <c r="P775" s="14"/>
      <c r="Q775" s="13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1"/>
      <c r="M776" s="11"/>
      <c r="N776" s="11"/>
      <c r="O776" s="11">
        <f t="shared" si="1"/>
        <v>0</v>
      </c>
      <c r="P776" s="14"/>
      <c r="Q776" s="13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1"/>
      <c r="M777" s="11"/>
      <c r="N777" s="11"/>
      <c r="O777" s="11">
        <f t="shared" si="1"/>
        <v>0</v>
      </c>
      <c r="P777" s="14"/>
      <c r="Q777" s="13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1"/>
      <c r="M778" s="11"/>
      <c r="N778" s="11"/>
      <c r="O778" s="11">
        <f t="shared" si="1"/>
        <v>0</v>
      </c>
      <c r="P778" s="14"/>
      <c r="Q778" s="13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1"/>
      <c r="M779" s="11"/>
      <c r="N779" s="11"/>
      <c r="O779" s="11">
        <f t="shared" si="1"/>
        <v>0</v>
      </c>
      <c r="P779" s="14"/>
      <c r="Q779" s="13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1"/>
      <c r="M780" s="11"/>
      <c r="N780" s="11"/>
      <c r="O780" s="11">
        <f t="shared" si="1"/>
        <v>0</v>
      </c>
      <c r="P780" s="14"/>
      <c r="Q780" s="13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1"/>
      <c r="M781" s="11"/>
      <c r="N781" s="11"/>
      <c r="O781" s="11">
        <f t="shared" si="1"/>
        <v>0</v>
      </c>
      <c r="P781" s="14"/>
      <c r="Q781" s="13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1"/>
      <c r="M782" s="11"/>
      <c r="N782" s="11"/>
      <c r="O782" s="11">
        <f t="shared" si="1"/>
        <v>0</v>
      </c>
      <c r="P782" s="14"/>
      <c r="Q782" s="13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1"/>
      <c r="M783" s="11"/>
      <c r="N783" s="11"/>
      <c r="O783" s="11">
        <f t="shared" si="1"/>
        <v>0</v>
      </c>
      <c r="P783" s="14"/>
      <c r="Q783" s="13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1"/>
      <c r="M784" s="11"/>
      <c r="N784" s="11"/>
      <c r="O784" s="11">
        <f t="shared" si="1"/>
        <v>0</v>
      </c>
      <c r="P784" s="14"/>
      <c r="Q784" s="13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1"/>
      <c r="M785" s="11"/>
      <c r="N785" s="11"/>
      <c r="O785" s="11">
        <f t="shared" si="1"/>
        <v>0</v>
      </c>
      <c r="P785" s="14"/>
      <c r="Q785" s="13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1"/>
      <c r="M786" s="11"/>
      <c r="N786" s="11"/>
      <c r="O786" s="11">
        <f t="shared" si="1"/>
        <v>0</v>
      </c>
      <c r="P786" s="14"/>
      <c r="Q786" s="13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1"/>
      <c r="M787" s="11"/>
      <c r="N787" s="11"/>
      <c r="O787" s="11">
        <f t="shared" si="1"/>
        <v>0</v>
      </c>
      <c r="P787" s="14"/>
      <c r="Q787" s="13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1"/>
      <c r="M788" s="11"/>
      <c r="N788" s="11"/>
      <c r="O788" s="11">
        <f t="shared" si="1"/>
        <v>0</v>
      </c>
      <c r="P788" s="14"/>
      <c r="Q788" s="13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1"/>
      <c r="M789" s="11"/>
      <c r="N789" s="11"/>
      <c r="O789" s="11">
        <f t="shared" si="1"/>
        <v>0</v>
      </c>
      <c r="P789" s="14"/>
      <c r="Q789" s="13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1"/>
      <c r="M790" s="11"/>
      <c r="N790" s="11"/>
      <c r="O790" s="11">
        <f t="shared" si="1"/>
        <v>0</v>
      </c>
      <c r="P790" s="14"/>
      <c r="Q790" s="13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1"/>
      <c r="M791" s="11"/>
      <c r="N791" s="11"/>
      <c r="O791" s="11">
        <f t="shared" si="1"/>
        <v>0</v>
      </c>
      <c r="P791" s="14"/>
      <c r="Q791" s="13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1"/>
      <c r="M792" s="11"/>
      <c r="N792" s="11"/>
      <c r="O792" s="11">
        <f t="shared" si="1"/>
        <v>0</v>
      </c>
      <c r="P792" s="14"/>
      <c r="Q792" s="13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1"/>
      <c r="M793" s="11"/>
      <c r="N793" s="11"/>
      <c r="O793" s="11">
        <f t="shared" si="1"/>
        <v>0</v>
      </c>
      <c r="P793" s="14"/>
      <c r="Q793" s="13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1"/>
      <c r="M794" s="11"/>
      <c r="N794" s="11"/>
      <c r="O794" s="11">
        <f t="shared" si="1"/>
        <v>0</v>
      </c>
      <c r="P794" s="14"/>
      <c r="Q794" s="13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1"/>
      <c r="M795" s="11"/>
      <c r="N795" s="11"/>
      <c r="O795" s="11">
        <f t="shared" si="1"/>
        <v>0</v>
      </c>
      <c r="P795" s="14"/>
      <c r="Q795" s="13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1"/>
      <c r="M796" s="11"/>
      <c r="N796" s="11"/>
      <c r="O796" s="11">
        <f t="shared" si="1"/>
        <v>0</v>
      </c>
      <c r="P796" s="14"/>
      <c r="Q796" s="13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1"/>
      <c r="M797" s="11"/>
      <c r="N797" s="11"/>
      <c r="O797" s="11">
        <f t="shared" si="1"/>
        <v>0</v>
      </c>
      <c r="P797" s="14"/>
      <c r="Q797" s="13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1"/>
      <c r="M798" s="11"/>
      <c r="N798" s="11"/>
      <c r="O798" s="11">
        <f t="shared" si="1"/>
        <v>0</v>
      </c>
      <c r="P798" s="14"/>
      <c r="Q798" s="13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1"/>
      <c r="M799" s="11"/>
      <c r="N799" s="11"/>
      <c r="O799" s="11">
        <f t="shared" si="1"/>
        <v>0</v>
      </c>
      <c r="P799" s="14"/>
      <c r="Q799" s="13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1"/>
      <c r="M800" s="11"/>
      <c r="N800" s="11"/>
      <c r="O800" s="11">
        <f t="shared" si="1"/>
        <v>0</v>
      </c>
      <c r="P800" s="14"/>
      <c r="Q800" s="13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1"/>
      <c r="M801" s="11"/>
      <c r="N801" s="11"/>
      <c r="O801" s="11">
        <f t="shared" si="1"/>
        <v>0</v>
      </c>
      <c r="P801" s="14"/>
      <c r="Q801" s="13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1"/>
      <c r="M802" s="11"/>
      <c r="N802" s="11"/>
      <c r="O802" s="11">
        <f t="shared" si="1"/>
        <v>0</v>
      </c>
      <c r="P802" s="14"/>
      <c r="Q802" s="13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1"/>
      <c r="M803" s="11"/>
      <c r="N803" s="11"/>
      <c r="O803" s="11">
        <f t="shared" si="1"/>
        <v>0</v>
      </c>
      <c r="P803" s="14"/>
      <c r="Q803" s="13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1"/>
      <c r="M804" s="11"/>
      <c r="N804" s="11"/>
      <c r="O804" s="11">
        <f t="shared" si="1"/>
        <v>0</v>
      </c>
      <c r="P804" s="14"/>
      <c r="Q804" s="13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1"/>
      <c r="M805" s="11"/>
      <c r="N805" s="11"/>
      <c r="O805" s="11">
        <f t="shared" si="1"/>
        <v>0</v>
      </c>
      <c r="P805" s="14"/>
      <c r="Q805" s="13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1"/>
      <c r="M806" s="11"/>
      <c r="N806" s="11"/>
      <c r="O806" s="11">
        <f t="shared" si="1"/>
        <v>0</v>
      </c>
      <c r="P806" s="14"/>
      <c r="Q806" s="13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1"/>
      <c r="M807" s="11"/>
      <c r="N807" s="11"/>
      <c r="O807" s="11">
        <f t="shared" si="1"/>
        <v>0</v>
      </c>
      <c r="P807" s="14"/>
      <c r="Q807" s="13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1"/>
      <c r="M808" s="11"/>
      <c r="N808" s="11"/>
      <c r="O808" s="11">
        <f t="shared" si="1"/>
        <v>0</v>
      </c>
      <c r="P808" s="14"/>
      <c r="Q808" s="13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1"/>
      <c r="M809" s="11"/>
      <c r="N809" s="11"/>
      <c r="O809" s="11">
        <f t="shared" si="1"/>
        <v>0</v>
      </c>
      <c r="P809" s="14"/>
      <c r="Q809" s="13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1"/>
      <c r="M810" s="11"/>
      <c r="N810" s="11"/>
      <c r="O810" s="11">
        <f t="shared" si="1"/>
        <v>0</v>
      </c>
      <c r="P810" s="14"/>
      <c r="Q810" s="13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1"/>
      <c r="M811" s="11"/>
      <c r="N811" s="11"/>
      <c r="O811" s="11">
        <f t="shared" si="1"/>
        <v>0</v>
      </c>
      <c r="P811" s="14"/>
      <c r="Q811" s="13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1"/>
      <c r="M812" s="11"/>
      <c r="N812" s="11"/>
      <c r="O812" s="11">
        <f t="shared" si="1"/>
        <v>0</v>
      </c>
      <c r="P812" s="14"/>
      <c r="Q812" s="13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1"/>
      <c r="M813" s="11"/>
      <c r="N813" s="11"/>
      <c r="O813" s="11">
        <f t="shared" si="1"/>
        <v>0</v>
      </c>
      <c r="P813" s="14"/>
      <c r="Q813" s="13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1"/>
      <c r="M814" s="11"/>
      <c r="N814" s="11"/>
      <c r="O814" s="11">
        <f t="shared" si="1"/>
        <v>0</v>
      </c>
      <c r="P814" s="14"/>
      <c r="Q814" s="13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1"/>
      <c r="M815" s="11"/>
      <c r="N815" s="11"/>
      <c r="O815" s="11">
        <f t="shared" si="1"/>
        <v>0</v>
      </c>
      <c r="P815" s="14"/>
      <c r="Q815" s="13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1"/>
      <c r="M816" s="11"/>
      <c r="N816" s="11"/>
      <c r="O816" s="11">
        <f t="shared" si="1"/>
        <v>0</v>
      </c>
      <c r="P816" s="14"/>
      <c r="Q816" s="13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1"/>
      <c r="M817" s="11"/>
      <c r="N817" s="11"/>
      <c r="O817" s="11">
        <f t="shared" si="1"/>
        <v>0</v>
      </c>
      <c r="P817" s="14"/>
      <c r="Q817" s="13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1"/>
      <c r="M818" s="11"/>
      <c r="N818" s="11"/>
      <c r="O818" s="11">
        <f t="shared" si="1"/>
        <v>0</v>
      </c>
      <c r="P818" s="14"/>
      <c r="Q818" s="13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1"/>
      <c r="M819" s="11"/>
      <c r="N819" s="11"/>
      <c r="O819" s="11">
        <f t="shared" si="1"/>
        <v>0</v>
      </c>
      <c r="P819" s="14"/>
      <c r="Q819" s="13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1"/>
      <c r="M820" s="11"/>
      <c r="N820" s="11"/>
      <c r="O820" s="11">
        <f t="shared" si="1"/>
        <v>0</v>
      </c>
      <c r="P820" s="14"/>
      <c r="Q820" s="13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1"/>
      <c r="M821" s="11"/>
      <c r="N821" s="11"/>
      <c r="O821" s="11">
        <f t="shared" si="1"/>
        <v>0</v>
      </c>
      <c r="P821" s="14"/>
      <c r="Q821" s="13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1"/>
      <c r="M822" s="11"/>
      <c r="N822" s="11"/>
      <c r="O822" s="11">
        <f t="shared" si="1"/>
        <v>0</v>
      </c>
      <c r="P822" s="14"/>
      <c r="Q822" s="13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1"/>
      <c r="M823" s="11"/>
      <c r="N823" s="11"/>
      <c r="O823" s="11">
        <f t="shared" si="1"/>
        <v>0</v>
      </c>
      <c r="P823" s="14"/>
      <c r="Q823" s="13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1"/>
      <c r="M824" s="11"/>
      <c r="N824" s="11"/>
      <c r="O824" s="11">
        <f t="shared" si="1"/>
        <v>0</v>
      </c>
      <c r="P824" s="14"/>
      <c r="Q824" s="13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1"/>
      <c r="M825" s="11"/>
      <c r="N825" s="11"/>
      <c r="O825" s="11">
        <f t="shared" si="1"/>
        <v>0</v>
      </c>
      <c r="P825" s="14"/>
      <c r="Q825" s="13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1"/>
      <c r="M826" s="11"/>
      <c r="N826" s="11"/>
      <c r="O826" s="11">
        <f t="shared" si="1"/>
        <v>0</v>
      </c>
      <c r="P826" s="14"/>
      <c r="Q826" s="13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1"/>
      <c r="M827" s="11"/>
      <c r="N827" s="11"/>
      <c r="O827" s="11">
        <f t="shared" si="1"/>
        <v>0</v>
      </c>
      <c r="P827" s="14"/>
      <c r="Q827" s="13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1"/>
      <c r="M828" s="11"/>
      <c r="N828" s="11"/>
      <c r="O828" s="11">
        <f t="shared" si="1"/>
        <v>0</v>
      </c>
      <c r="P828" s="14"/>
      <c r="Q828" s="13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1"/>
      <c r="M829" s="11"/>
      <c r="N829" s="11"/>
      <c r="O829" s="11">
        <f t="shared" si="1"/>
        <v>0</v>
      </c>
      <c r="P829" s="14"/>
      <c r="Q829" s="13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1"/>
      <c r="M830" s="11"/>
      <c r="N830" s="11"/>
      <c r="O830" s="11">
        <f t="shared" si="1"/>
        <v>0</v>
      </c>
      <c r="P830" s="14"/>
      <c r="Q830" s="13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1"/>
      <c r="M831" s="11"/>
      <c r="N831" s="11"/>
      <c r="O831" s="11">
        <f t="shared" si="1"/>
        <v>0</v>
      </c>
      <c r="P831" s="14"/>
      <c r="Q831" s="13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1"/>
      <c r="M832" s="11"/>
      <c r="N832" s="11"/>
      <c r="O832" s="11">
        <f t="shared" si="1"/>
        <v>0</v>
      </c>
      <c r="P832" s="14"/>
      <c r="Q832" s="13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1"/>
      <c r="M833" s="11"/>
      <c r="N833" s="11"/>
      <c r="O833" s="11">
        <f t="shared" si="1"/>
        <v>0</v>
      </c>
      <c r="P833" s="14"/>
      <c r="Q833" s="13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1"/>
      <c r="M834" s="11"/>
      <c r="N834" s="11"/>
      <c r="O834" s="11">
        <f t="shared" si="1"/>
        <v>0</v>
      </c>
      <c r="P834" s="14"/>
      <c r="Q834" s="13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1"/>
      <c r="M835" s="11"/>
      <c r="N835" s="11"/>
      <c r="O835" s="11">
        <f t="shared" si="1"/>
        <v>0</v>
      </c>
      <c r="P835" s="14"/>
      <c r="Q835" s="13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1"/>
      <c r="M836" s="11"/>
      <c r="N836" s="11"/>
      <c r="O836" s="11">
        <f t="shared" si="1"/>
        <v>0</v>
      </c>
      <c r="P836" s="14"/>
      <c r="Q836" s="13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1"/>
      <c r="M837" s="11"/>
      <c r="N837" s="11"/>
      <c r="O837" s="11">
        <f t="shared" si="1"/>
        <v>0</v>
      </c>
      <c r="P837" s="14"/>
      <c r="Q837" s="13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1"/>
      <c r="M838" s="11"/>
      <c r="N838" s="11"/>
      <c r="O838" s="11">
        <f t="shared" si="1"/>
        <v>0</v>
      </c>
      <c r="P838" s="14"/>
      <c r="Q838" s="13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1"/>
      <c r="M839" s="11"/>
      <c r="N839" s="11"/>
      <c r="O839" s="11">
        <f t="shared" si="1"/>
        <v>0</v>
      </c>
      <c r="P839" s="14"/>
      <c r="Q839" s="13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1"/>
      <c r="M840" s="11"/>
      <c r="N840" s="11"/>
      <c r="O840" s="11">
        <f t="shared" si="1"/>
        <v>0</v>
      </c>
      <c r="P840" s="14"/>
      <c r="Q840" s="13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1"/>
      <c r="M841" s="11"/>
      <c r="N841" s="11"/>
      <c r="O841" s="11">
        <f t="shared" si="1"/>
        <v>0</v>
      </c>
      <c r="P841" s="14"/>
      <c r="Q841" s="13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1"/>
      <c r="M842" s="11"/>
      <c r="N842" s="11"/>
      <c r="O842" s="11">
        <f t="shared" si="1"/>
        <v>0</v>
      </c>
      <c r="P842" s="14"/>
      <c r="Q842" s="13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1"/>
      <c r="M843" s="11"/>
      <c r="N843" s="11"/>
      <c r="O843" s="11">
        <f t="shared" si="1"/>
        <v>0</v>
      </c>
      <c r="P843" s="14"/>
      <c r="Q843" s="13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1"/>
      <c r="M844" s="11"/>
      <c r="N844" s="11"/>
      <c r="O844" s="11">
        <f t="shared" si="1"/>
        <v>0</v>
      </c>
      <c r="P844" s="14"/>
      <c r="Q844" s="13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1"/>
      <c r="M845" s="11"/>
      <c r="N845" s="11"/>
      <c r="O845" s="11">
        <f t="shared" si="1"/>
        <v>0</v>
      </c>
      <c r="P845" s="14"/>
      <c r="Q845" s="13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1"/>
      <c r="M846" s="11"/>
      <c r="N846" s="11"/>
      <c r="O846" s="11">
        <f t="shared" si="1"/>
        <v>0</v>
      </c>
      <c r="P846" s="14"/>
      <c r="Q846" s="13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1"/>
      <c r="M847" s="11"/>
      <c r="N847" s="11"/>
      <c r="O847" s="11">
        <f t="shared" si="1"/>
        <v>0</v>
      </c>
      <c r="P847" s="14"/>
      <c r="Q847" s="13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1"/>
      <c r="M848" s="11"/>
      <c r="N848" s="11"/>
      <c r="O848" s="11">
        <f t="shared" si="1"/>
        <v>0</v>
      </c>
      <c r="P848" s="14"/>
      <c r="Q848" s="13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1"/>
      <c r="M849" s="11"/>
      <c r="N849" s="11"/>
      <c r="O849" s="11">
        <f t="shared" si="1"/>
        <v>0</v>
      </c>
      <c r="P849" s="14"/>
      <c r="Q849" s="13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1"/>
      <c r="M850" s="11"/>
      <c r="N850" s="11"/>
      <c r="O850" s="11">
        <f t="shared" si="1"/>
        <v>0</v>
      </c>
      <c r="P850" s="14"/>
      <c r="Q850" s="13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1"/>
      <c r="M851" s="11"/>
      <c r="N851" s="11"/>
      <c r="O851" s="11">
        <f t="shared" si="1"/>
        <v>0</v>
      </c>
      <c r="P851" s="14"/>
      <c r="Q851" s="13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1"/>
      <c r="M852" s="11"/>
      <c r="N852" s="11"/>
      <c r="O852" s="11">
        <f t="shared" si="1"/>
        <v>0</v>
      </c>
      <c r="P852" s="14"/>
      <c r="Q852" s="13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1"/>
      <c r="M853" s="11"/>
      <c r="N853" s="11"/>
      <c r="O853" s="11">
        <f t="shared" si="1"/>
        <v>0</v>
      </c>
      <c r="P853" s="14"/>
      <c r="Q853" s="13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1"/>
      <c r="M854" s="11"/>
      <c r="N854" s="11"/>
      <c r="O854" s="11">
        <f t="shared" si="1"/>
        <v>0</v>
      </c>
      <c r="P854" s="14"/>
      <c r="Q854" s="13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1"/>
      <c r="M855" s="11"/>
      <c r="N855" s="11"/>
      <c r="O855" s="11">
        <f t="shared" si="1"/>
        <v>0</v>
      </c>
      <c r="P855" s="14"/>
      <c r="Q855" s="13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1"/>
      <c r="M856" s="11"/>
      <c r="N856" s="11"/>
      <c r="O856" s="11">
        <f t="shared" si="1"/>
        <v>0</v>
      </c>
      <c r="P856" s="14"/>
      <c r="Q856" s="13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1"/>
      <c r="M857" s="11"/>
      <c r="N857" s="11"/>
      <c r="O857" s="11">
        <f t="shared" si="1"/>
        <v>0</v>
      </c>
      <c r="P857" s="14"/>
      <c r="Q857" s="13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1"/>
      <c r="M858" s="11"/>
      <c r="N858" s="11"/>
      <c r="O858" s="11">
        <f t="shared" si="1"/>
        <v>0</v>
      </c>
      <c r="P858" s="14"/>
      <c r="Q858" s="13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1"/>
      <c r="M859" s="11"/>
      <c r="N859" s="11"/>
      <c r="O859" s="11">
        <f t="shared" si="1"/>
        <v>0</v>
      </c>
      <c r="P859" s="14"/>
      <c r="Q859" s="13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1"/>
      <c r="M860" s="11"/>
      <c r="N860" s="11"/>
      <c r="O860" s="11">
        <f t="shared" si="1"/>
        <v>0</v>
      </c>
      <c r="P860" s="14"/>
      <c r="Q860" s="13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1"/>
      <c r="M861" s="11"/>
      <c r="N861" s="11"/>
      <c r="O861" s="11">
        <f t="shared" si="1"/>
        <v>0</v>
      </c>
      <c r="P861" s="14"/>
      <c r="Q861" s="13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1"/>
      <c r="M862" s="11"/>
      <c r="N862" s="11"/>
      <c r="O862" s="11">
        <f t="shared" si="1"/>
        <v>0</v>
      </c>
      <c r="P862" s="14"/>
      <c r="Q862" s="13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1"/>
      <c r="M863" s="11"/>
      <c r="N863" s="11"/>
      <c r="O863" s="11">
        <f t="shared" si="1"/>
        <v>0</v>
      </c>
      <c r="P863" s="14"/>
      <c r="Q863" s="13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1"/>
      <c r="M864" s="11"/>
      <c r="N864" s="11"/>
      <c r="O864" s="11">
        <f t="shared" si="1"/>
        <v>0</v>
      </c>
      <c r="P864" s="14"/>
      <c r="Q864" s="13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1"/>
      <c r="M865" s="11"/>
      <c r="N865" s="11"/>
      <c r="O865" s="11">
        <f t="shared" si="1"/>
        <v>0</v>
      </c>
      <c r="P865" s="14"/>
      <c r="Q865" s="13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1"/>
      <c r="M866" s="11"/>
      <c r="N866" s="11"/>
      <c r="O866" s="11">
        <f t="shared" si="1"/>
        <v>0</v>
      </c>
      <c r="P866" s="14"/>
      <c r="Q866" s="13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1"/>
      <c r="M867" s="11"/>
      <c r="N867" s="11"/>
      <c r="O867" s="11">
        <f t="shared" si="1"/>
        <v>0</v>
      </c>
      <c r="P867" s="14"/>
      <c r="Q867" s="13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1"/>
      <c r="M868" s="11"/>
      <c r="N868" s="11"/>
      <c r="O868" s="11">
        <f t="shared" si="1"/>
        <v>0</v>
      </c>
      <c r="P868" s="14"/>
      <c r="Q868" s="13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1"/>
      <c r="M869" s="11"/>
      <c r="N869" s="11"/>
      <c r="O869" s="11">
        <f t="shared" si="1"/>
        <v>0</v>
      </c>
      <c r="P869" s="14"/>
      <c r="Q869" s="13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1"/>
      <c r="M870" s="11"/>
      <c r="N870" s="11"/>
      <c r="O870" s="11">
        <f t="shared" si="1"/>
        <v>0</v>
      </c>
      <c r="P870" s="14"/>
      <c r="Q870" s="13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1"/>
      <c r="M871" s="11"/>
      <c r="N871" s="11"/>
      <c r="O871" s="11">
        <f t="shared" si="1"/>
        <v>0</v>
      </c>
      <c r="P871" s="14"/>
      <c r="Q871" s="13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1"/>
      <c r="M872" s="11"/>
      <c r="N872" s="11"/>
      <c r="O872" s="11">
        <f t="shared" si="1"/>
        <v>0</v>
      </c>
      <c r="P872" s="14"/>
      <c r="Q872" s="13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1"/>
      <c r="M873" s="11"/>
      <c r="N873" s="11"/>
      <c r="O873" s="11">
        <f t="shared" si="1"/>
        <v>0</v>
      </c>
      <c r="P873" s="14"/>
      <c r="Q873" s="13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1"/>
      <c r="M874" s="11"/>
      <c r="N874" s="11"/>
      <c r="O874" s="11">
        <f t="shared" si="1"/>
        <v>0</v>
      </c>
      <c r="P874" s="14"/>
      <c r="Q874" s="13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1"/>
      <c r="M875" s="11"/>
      <c r="N875" s="11"/>
      <c r="O875" s="11">
        <f t="shared" si="1"/>
        <v>0</v>
      </c>
      <c r="P875" s="14"/>
      <c r="Q875" s="13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1"/>
      <c r="M876" s="11"/>
      <c r="N876" s="11"/>
      <c r="O876" s="11">
        <f t="shared" si="1"/>
        <v>0</v>
      </c>
      <c r="P876" s="14"/>
      <c r="Q876" s="13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1"/>
      <c r="M877" s="11"/>
      <c r="N877" s="11"/>
      <c r="O877" s="11">
        <f t="shared" si="1"/>
        <v>0</v>
      </c>
      <c r="P877" s="14"/>
      <c r="Q877" s="13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1"/>
      <c r="M878" s="11"/>
      <c r="N878" s="11"/>
      <c r="O878" s="11">
        <f t="shared" si="1"/>
        <v>0</v>
      </c>
      <c r="P878" s="14"/>
      <c r="Q878" s="13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1"/>
      <c r="M879" s="11"/>
      <c r="N879" s="11"/>
      <c r="O879" s="11">
        <f t="shared" si="1"/>
        <v>0</v>
      </c>
      <c r="P879" s="14"/>
      <c r="Q879" s="13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1"/>
      <c r="M880" s="11"/>
      <c r="N880" s="11"/>
      <c r="O880" s="11">
        <f t="shared" si="1"/>
        <v>0</v>
      </c>
      <c r="P880" s="14"/>
      <c r="Q880" s="13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1"/>
      <c r="M881" s="11"/>
      <c r="N881" s="11"/>
      <c r="O881" s="11">
        <f t="shared" si="1"/>
        <v>0</v>
      </c>
      <c r="P881" s="14"/>
      <c r="Q881" s="13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1"/>
      <c r="M882" s="11"/>
      <c r="N882" s="11"/>
      <c r="O882" s="11">
        <f t="shared" si="1"/>
        <v>0</v>
      </c>
      <c r="P882" s="14"/>
      <c r="Q882" s="13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1"/>
      <c r="M883" s="11"/>
      <c r="N883" s="11"/>
      <c r="O883" s="11">
        <f t="shared" si="1"/>
        <v>0</v>
      </c>
      <c r="P883" s="14"/>
      <c r="Q883" s="13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1"/>
      <c r="M884" s="11"/>
      <c r="N884" s="11"/>
      <c r="O884" s="11">
        <f t="shared" si="1"/>
        <v>0</v>
      </c>
      <c r="P884" s="14"/>
      <c r="Q884" s="13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1"/>
      <c r="M885" s="11"/>
      <c r="N885" s="11"/>
      <c r="O885" s="11">
        <f t="shared" si="1"/>
        <v>0</v>
      </c>
      <c r="P885" s="14"/>
      <c r="Q885" s="13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1"/>
      <c r="M886" s="11"/>
      <c r="N886" s="11"/>
      <c r="O886" s="11">
        <f t="shared" si="1"/>
        <v>0</v>
      </c>
      <c r="P886" s="14"/>
      <c r="Q886" s="13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1"/>
      <c r="M887" s="11"/>
      <c r="N887" s="11"/>
      <c r="O887" s="11">
        <f t="shared" si="1"/>
        <v>0</v>
      </c>
      <c r="P887" s="14"/>
      <c r="Q887" s="13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1"/>
      <c r="M888" s="11"/>
      <c r="N888" s="11"/>
      <c r="O888" s="11">
        <f t="shared" si="1"/>
        <v>0</v>
      </c>
      <c r="P888" s="14"/>
      <c r="Q888" s="13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1"/>
      <c r="M889" s="11"/>
      <c r="N889" s="11"/>
      <c r="O889" s="11">
        <f t="shared" si="1"/>
        <v>0</v>
      </c>
      <c r="P889" s="14"/>
      <c r="Q889" s="13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1"/>
      <c r="M890" s="11"/>
      <c r="N890" s="11"/>
      <c r="O890" s="11">
        <f t="shared" si="1"/>
        <v>0</v>
      </c>
      <c r="P890" s="14"/>
      <c r="Q890" s="13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1"/>
      <c r="M891" s="11"/>
      <c r="N891" s="11"/>
      <c r="O891" s="11">
        <f t="shared" si="1"/>
        <v>0</v>
      </c>
      <c r="P891" s="14"/>
      <c r="Q891" s="13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1"/>
      <c r="M892" s="11"/>
      <c r="N892" s="11"/>
      <c r="O892" s="11">
        <f t="shared" si="1"/>
        <v>0</v>
      </c>
      <c r="P892" s="14"/>
      <c r="Q892" s="13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1"/>
      <c r="M893" s="11"/>
      <c r="N893" s="11"/>
      <c r="O893" s="11">
        <f t="shared" si="1"/>
        <v>0</v>
      </c>
      <c r="P893" s="14"/>
      <c r="Q893" s="13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1"/>
      <c r="M894" s="11"/>
      <c r="N894" s="11"/>
      <c r="O894" s="11">
        <f t="shared" si="1"/>
        <v>0</v>
      </c>
      <c r="P894" s="14"/>
      <c r="Q894" s="13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1"/>
      <c r="M895" s="11"/>
      <c r="N895" s="11"/>
      <c r="O895" s="11">
        <f t="shared" si="1"/>
        <v>0</v>
      </c>
      <c r="P895" s="14"/>
      <c r="Q895" s="13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1"/>
      <c r="M896" s="11"/>
      <c r="N896" s="11"/>
      <c r="O896" s="11">
        <f t="shared" si="1"/>
        <v>0</v>
      </c>
      <c r="P896" s="14"/>
      <c r="Q896" s="13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1"/>
      <c r="M897" s="11"/>
      <c r="N897" s="11"/>
      <c r="O897" s="11">
        <f t="shared" si="1"/>
        <v>0</v>
      </c>
      <c r="P897" s="14"/>
      <c r="Q897" s="13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1"/>
      <c r="M898" s="11"/>
      <c r="N898" s="11"/>
      <c r="O898" s="11">
        <f t="shared" si="1"/>
        <v>0</v>
      </c>
      <c r="P898" s="14"/>
      <c r="Q898" s="13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1"/>
      <c r="M899" s="11"/>
      <c r="N899" s="11"/>
      <c r="O899" s="11">
        <f t="shared" si="1"/>
        <v>0</v>
      </c>
      <c r="P899" s="14"/>
      <c r="Q899" s="13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1"/>
      <c r="M900" s="11"/>
      <c r="N900" s="11"/>
      <c r="O900" s="11">
        <f t="shared" si="1"/>
        <v>0</v>
      </c>
      <c r="P900" s="14"/>
      <c r="Q900" s="13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1"/>
      <c r="M901" s="11"/>
      <c r="N901" s="11"/>
      <c r="O901" s="11">
        <f t="shared" si="1"/>
        <v>0</v>
      </c>
      <c r="P901" s="14"/>
      <c r="Q901" s="13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1"/>
      <c r="M902" s="11"/>
      <c r="N902" s="11"/>
      <c r="O902" s="11">
        <f t="shared" si="1"/>
        <v>0</v>
      </c>
      <c r="P902" s="14"/>
      <c r="Q902" s="13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1"/>
      <c r="M903" s="11"/>
      <c r="N903" s="11"/>
      <c r="O903" s="11">
        <f t="shared" si="1"/>
        <v>0</v>
      </c>
      <c r="P903" s="14"/>
      <c r="Q903" s="13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1"/>
      <c r="M904" s="11"/>
      <c r="N904" s="11"/>
      <c r="O904" s="11">
        <f t="shared" si="1"/>
        <v>0</v>
      </c>
      <c r="P904" s="14"/>
      <c r="Q904" s="13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1"/>
      <c r="M905" s="11"/>
      <c r="N905" s="11"/>
      <c r="O905" s="11">
        <f t="shared" si="1"/>
        <v>0</v>
      </c>
      <c r="P905" s="14"/>
      <c r="Q905" s="13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1"/>
      <c r="M906" s="11"/>
      <c r="N906" s="11"/>
      <c r="O906" s="11">
        <f t="shared" si="1"/>
        <v>0</v>
      </c>
      <c r="P906" s="14"/>
      <c r="Q906" s="13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1"/>
      <c r="M907" s="11"/>
      <c r="N907" s="11"/>
      <c r="O907" s="11">
        <f t="shared" si="1"/>
        <v>0</v>
      </c>
      <c r="P907" s="14"/>
      <c r="Q907" s="13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1"/>
      <c r="M908" s="11"/>
      <c r="N908" s="11"/>
      <c r="O908" s="11">
        <f t="shared" si="1"/>
        <v>0</v>
      </c>
      <c r="P908" s="14"/>
      <c r="Q908" s="13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1"/>
      <c r="M909" s="11"/>
      <c r="N909" s="11"/>
      <c r="O909" s="11">
        <f t="shared" si="1"/>
        <v>0</v>
      </c>
      <c r="P909" s="14"/>
      <c r="Q909" s="13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1"/>
      <c r="M910" s="11"/>
      <c r="N910" s="11"/>
      <c r="O910" s="11">
        <f t="shared" si="1"/>
        <v>0</v>
      </c>
      <c r="P910" s="14"/>
      <c r="Q910" s="13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1"/>
      <c r="M911" s="11"/>
      <c r="N911" s="11"/>
      <c r="O911" s="11">
        <f t="shared" si="1"/>
        <v>0</v>
      </c>
      <c r="P911" s="14"/>
      <c r="Q911" s="13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1"/>
      <c r="M912" s="11"/>
      <c r="N912" s="11"/>
      <c r="O912" s="11">
        <f t="shared" si="1"/>
        <v>0</v>
      </c>
      <c r="P912" s="14"/>
      <c r="Q912" s="13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1"/>
      <c r="M913" s="11"/>
      <c r="N913" s="11"/>
      <c r="O913" s="11">
        <f t="shared" si="1"/>
        <v>0</v>
      </c>
      <c r="P913" s="14"/>
      <c r="Q913" s="13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1"/>
      <c r="M914" s="11"/>
      <c r="N914" s="11"/>
      <c r="O914" s="11">
        <f t="shared" si="1"/>
        <v>0</v>
      </c>
      <c r="P914" s="14"/>
      <c r="Q914" s="13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1"/>
      <c r="M915" s="11"/>
      <c r="N915" s="11"/>
      <c r="O915" s="11">
        <f t="shared" si="1"/>
        <v>0</v>
      </c>
      <c r="P915" s="14"/>
      <c r="Q915" s="13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1"/>
      <c r="M916" s="11"/>
      <c r="N916" s="11"/>
      <c r="O916" s="11">
        <f t="shared" si="1"/>
        <v>0</v>
      </c>
      <c r="P916" s="14"/>
      <c r="Q916" s="13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1"/>
      <c r="M917" s="11"/>
      <c r="N917" s="11"/>
      <c r="O917" s="11">
        <f t="shared" si="1"/>
        <v>0</v>
      </c>
      <c r="P917" s="14"/>
      <c r="Q917" s="13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1"/>
      <c r="M918" s="11"/>
      <c r="N918" s="11"/>
      <c r="O918" s="11">
        <f t="shared" si="1"/>
        <v>0</v>
      </c>
      <c r="P918" s="14"/>
      <c r="Q918" s="13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1"/>
      <c r="M919" s="11"/>
      <c r="N919" s="11"/>
      <c r="O919" s="11">
        <f t="shared" si="1"/>
        <v>0</v>
      </c>
      <c r="P919" s="14"/>
      <c r="Q919" s="13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1"/>
      <c r="M920" s="11"/>
      <c r="N920" s="11"/>
      <c r="O920" s="11">
        <f t="shared" si="1"/>
        <v>0</v>
      </c>
      <c r="P920" s="14"/>
      <c r="Q920" s="13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1"/>
      <c r="M921" s="11"/>
      <c r="N921" s="11"/>
      <c r="O921" s="11">
        <f t="shared" si="1"/>
        <v>0</v>
      </c>
      <c r="P921" s="14"/>
      <c r="Q921" s="13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1"/>
      <c r="M922" s="11"/>
      <c r="N922" s="11"/>
      <c r="O922" s="11">
        <f t="shared" si="1"/>
        <v>0</v>
      </c>
      <c r="P922" s="14"/>
      <c r="Q922" s="13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1"/>
      <c r="M923" s="11"/>
      <c r="N923" s="11"/>
      <c r="O923" s="11">
        <f t="shared" si="1"/>
        <v>0</v>
      </c>
      <c r="P923" s="14"/>
      <c r="Q923" s="13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1"/>
      <c r="M924" s="11"/>
      <c r="N924" s="11"/>
      <c r="O924" s="11">
        <f t="shared" si="1"/>
        <v>0</v>
      </c>
      <c r="P924" s="14"/>
      <c r="Q924" s="13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1"/>
      <c r="M925" s="11"/>
      <c r="N925" s="11"/>
      <c r="O925" s="11">
        <f t="shared" si="1"/>
        <v>0</v>
      </c>
      <c r="P925" s="14"/>
      <c r="Q925" s="13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1"/>
      <c r="M926" s="11"/>
      <c r="N926" s="11"/>
      <c r="O926" s="11">
        <f t="shared" si="1"/>
        <v>0</v>
      </c>
      <c r="P926" s="14"/>
      <c r="Q926" s="13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1"/>
      <c r="M927" s="11"/>
      <c r="N927" s="11"/>
      <c r="O927" s="11">
        <f t="shared" si="1"/>
        <v>0</v>
      </c>
      <c r="P927" s="14"/>
      <c r="Q927" s="13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1"/>
      <c r="M928" s="11"/>
      <c r="N928" s="11"/>
      <c r="O928" s="11">
        <f t="shared" si="1"/>
        <v>0</v>
      </c>
      <c r="P928" s="14"/>
      <c r="Q928" s="13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1"/>
      <c r="M929" s="11"/>
      <c r="N929" s="11"/>
      <c r="O929" s="11">
        <f t="shared" si="1"/>
        <v>0</v>
      </c>
      <c r="P929" s="14"/>
      <c r="Q929" s="13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1"/>
      <c r="M930" s="11"/>
      <c r="N930" s="11"/>
      <c r="O930" s="11">
        <f t="shared" si="1"/>
        <v>0</v>
      </c>
      <c r="P930" s="14"/>
      <c r="Q930" s="13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1"/>
      <c r="M931" s="11"/>
      <c r="N931" s="11"/>
      <c r="O931" s="11">
        <f t="shared" si="1"/>
        <v>0</v>
      </c>
      <c r="P931" s="14"/>
      <c r="Q931" s="13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1"/>
      <c r="M932" s="11"/>
      <c r="N932" s="11"/>
      <c r="O932" s="11">
        <f t="shared" si="1"/>
        <v>0</v>
      </c>
      <c r="P932" s="14"/>
      <c r="Q932" s="13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1"/>
      <c r="M933" s="11"/>
      <c r="N933" s="11"/>
      <c r="O933" s="11">
        <f t="shared" si="1"/>
        <v>0</v>
      </c>
      <c r="P933" s="14"/>
      <c r="Q933" s="13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1"/>
      <c r="M934" s="11"/>
      <c r="N934" s="11"/>
      <c r="O934" s="11">
        <f t="shared" si="1"/>
        <v>0</v>
      </c>
      <c r="P934" s="14"/>
      <c r="Q934" s="13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1"/>
      <c r="M935" s="11"/>
      <c r="N935" s="11"/>
      <c r="O935" s="11">
        <f t="shared" si="1"/>
        <v>0</v>
      </c>
      <c r="P935" s="14"/>
      <c r="Q935" s="13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1"/>
      <c r="M936" s="11"/>
      <c r="N936" s="11"/>
      <c r="O936" s="11">
        <f t="shared" si="1"/>
        <v>0</v>
      </c>
      <c r="P936" s="14"/>
      <c r="Q936" s="13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1"/>
      <c r="M937" s="11"/>
      <c r="N937" s="11"/>
      <c r="O937" s="11">
        <f t="shared" si="1"/>
        <v>0</v>
      </c>
      <c r="P937" s="14"/>
      <c r="Q937" s="13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1"/>
      <c r="M938" s="11"/>
      <c r="N938" s="11"/>
      <c r="O938" s="11">
        <f t="shared" si="1"/>
        <v>0</v>
      </c>
      <c r="P938" s="14"/>
      <c r="Q938" s="13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1"/>
      <c r="M939" s="11"/>
      <c r="N939" s="11"/>
      <c r="O939" s="11">
        <f t="shared" si="1"/>
        <v>0</v>
      </c>
      <c r="P939" s="14"/>
      <c r="Q939" s="13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1"/>
      <c r="M940" s="11"/>
      <c r="N940" s="11"/>
      <c r="O940" s="11">
        <f t="shared" si="1"/>
        <v>0</v>
      </c>
      <c r="P940" s="14"/>
      <c r="Q940" s="13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1"/>
      <c r="M941" s="11"/>
      <c r="N941" s="11"/>
      <c r="O941" s="11">
        <f t="shared" si="1"/>
        <v>0</v>
      </c>
      <c r="P941" s="14"/>
      <c r="Q941" s="13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1"/>
      <c r="M942" s="11"/>
      <c r="N942" s="11"/>
      <c r="O942" s="11">
        <f t="shared" si="1"/>
        <v>0</v>
      </c>
      <c r="P942" s="14"/>
      <c r="Q942" s="13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1"/>
      <c r="M943" s="11"/>
      <c r="N943" s="11"/>
      <c r="O943" s="11">
        <f t="shared" si="1"/>
        <v>0</v>
      </c>
      <c r="P943" s="14"/>
      <c r="Q943" s="13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1"/>
      <c r="M944" s="11"/>
      <c r="N944" s="11"/>
      <c r="O944" s="11">
        <f t="shared" si="1"/>
        <v>0</v>
      </c>
      <c r="P944" s="14"/>
      <c r="Q944" s="13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1"/>
      <c r="M945" s="11"/>
      <c r="N945" s="11"/>
      <c r="O945" s="11">
        <f t="shared" si="1"/>
        <v>0</v>
      </c>
      <c r="P945" s="14"/>
      <c r="Q945" s="13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1"/>
      <c r="M946" s="11"/>
      <c r="N946" s="11"/>
      <c r="O946" s="11">
        <f t="shared" si="1"/>
        <v>0</v>
      </c>
      <c r="P946" s="14"/>
      <c r="Q946" s="13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1"/>
      <c r="M947" s="11"/>
      <c r="N947" s="11"/>
      <c r="O947" s="11">
        <f t="shared" si="1"/>
        <v>0</v>
      </c>
      <c r="P947" s="14"/>
      <c r="Q947" s="13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1"/>
      <c r="M948" s="11"/>
      <c r="N948" s="11"/>
      <c r="O948" s="11">
        <f t="shared" si="1"/>
        <v>0</v>
      </c>
      <c r="P948" s="14"/>
      <c r="Q948" s="13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1"/>
      <c r="M949" s="11"/>
      <c r="N949" s="11"/>
      <c r="O949" s="11">
        <f t="shared" si="1"/>
        <v>0</v>
      </c>
      <c r="P949" s="14"/>
      <c r="Q949" s="13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1"/>
      <c r="M950" s="11"/>
      <c r="N950" s="11"/>
      <c r="O950" s="11">
        <f t="shared" si="1"/>
        <v>0</v>
      </c>
      <c r="P950" s="14"/>
      <c r="Q950" s="13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1"/>
      <c r="M951" s="11"/>
      <c r="N951" s="11"/>
      <c r="O951" s="11">
        <f t="shared" si="1"/>
        <v>0</v>
      </c>
      <c r="P951" s="14"/>
      <c r="Q951" s="13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1"/>
      <c r="M952" s="11"/>
      <c r="N952" s="11"/>
      <c r="O952" s="11">
        <f t="shared" si="1"/>
        <v>0</v>
      </c>
      <c r="P952" s="14"/>
      <c r="Q952" s="13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1"/>
      <c r="M953" s="11"/>
      <c r="N953" s="11"/>
      <c r="O953" s="11">
        <f t="shared" si="1"/>
        <v>0</v>
      </c>
      <c r="P953" s="14"/>
      <c r="Q953" s="13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1"/>
      <c r="M954" s="11"/>
      <c r="N954" s="11"/>
      <c r="O954" s="11">
        <f t="shared" si="1"/>
        <v>0</v>
      </c>
      <c r="P954" s="14"/>
      <c r="Q954" s="13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1"/>
      <c r="M955" s="11"/>
      <c r="N955" s="11"/>
      <c r="O955" s="11">
        <f t="shared" si="1"/>
        <v>0</v>
      </c>
      <c r="P955" s="14"/>
      <c r="Q955" s="13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1"/>
      <c r="M956" s="11"/>
      <c r="N956" s="11"/>
      <c r="O956" s="11">
        <f t="shared" si="1"/>
        <v>0</v>
      </c>
      <c r="P956" s="14"/>
      <c r="Q956" s="13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1"/>
      <c r="M957" s="11"/>
      <c r="N957" s="11"/>
      <c r="O957" s="11">
        <f t="shared" si="1"/>
        <v>0</v>
      </c>
      <c r="P957" s="14"/>
      <c r="Q957" s="13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1"/>
      <c r="M958" s="11"/>
      <c r="N958" s="11"/>
      <c r="O958" s="11">
        <f t="shared" si="1"/>
        <v>0</v>
      </c>
      <c r="P958" s="14"/>
      <c r="Q958" s="13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1"/>
      <c r="M959" s="11"/>
      <c r="N959" s="11"/>
      <c r="O959" s="11">
        <f t="shared" si="1"/>
        <v>0</v>
      </c>
      <c r="P959" s="14"/>
      <c r="Q959" s="13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1"/>
      <c r="M960" s="11"/>
      <c r="N960" s="11"/>
      <c r="O960" s="11">
        <f t="shared" si="1"/>
        <v>0</v>
      </c>
      <c r="P960" s="14"/>
      <c r="Q960" s="13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1"/>
      <c r="M961" s="11"/>
      <c r="N961" s="11"/>
      <c r="O961" s="11">
        <f t="shared" si="1"/>
        <v>0</v>
      </c>
      <c r="P961" s="14"/>
      <c r="Q961" s="13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1"/>
      <c r="M962" s="11"/>
      <c r="N962" s="11"/>
      <c r="O962" s="11">
        <f t="shared" si="1"/>
        <v>0</v>
      </c>
      <c r="P962" s="14"/>
      <c r="Q962" s="13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1"/>
      <c r="M963" s="11"/>
      <c r="N963" s="11"/>
      <c r="O963" s="11">
        <f t="shared" si="1"/>
        <v>0</v>
      </c>
      <c r="P963" s="14"/>
      <c r="Q963" s="13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1"/>
      <c r="M964" s="11"/>
      <c r="N964" s="11"/>
      <c r="O964" s="11">
        <f t="shared" si="1"/>
        <v>0</v>
      </c>
      <c r="P964" s="14"/>
      <c r="Q964" s="13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1"/>
      <c r="M965" s="11"/>
      <c r="N965" s="11"/>
      <c r="O965" s="11">
        <f t="shared" si="1"/>
        <v>0</v>
      </c>
      <c r="P965" s="14"/>
      <c r="Q965" s="13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1"/>
      <c r="M966" s="11"/>
      <c r="N966" s="11"/>
      <c r="O966" s="11">
        <f t="shared" si="1"/>
        <v>0</v>
      </c>
      <c r="P966" s="14"/>
      <c r="Q966" s="13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1"/>
      <c r="M967" s="11"/>
      <c r="N967" s="11"/>
      <c r="O967" s="11">
        <f t="shared" si="1"/>
        <v>0</v>
      </c>
      <c r="P967" s="14"/>
      <c r="Q967" s="13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1"/>
      <c r="M968" s="11"/>
      <c r="N968" s="11"/>
      <c r="O968" s="11">
        <f t="shared" si="1"/>
        <v>0</v>
      </c>
      <c r="P968" s="14"/>
      <c r="Q968" s="13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1"/>
      <c r="M969" s="11"/>
      <c r="N969" s="11"/>
      <c r="O969" s="11">
        <f t="shared" si="1"/>
        <v>0</v>
      </c>
      <c r="P969" s="14"/>
      <c r="Q969" s="13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1"/>
      <c r="M970" s="11"/>
      <c r="N970" s="11"/>
      <c r="O970" s="11">
        <f t="shared" si="1"/>
        <v>0</v>
      </c>
      <c r="P970" s="14"/>
      <c r="Q970" s="13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1"/>
      <c r="M971" s="11"/>
      <c r="N971" s="11"/>
      <c r="O971" s="11">
        <f t="shared" si="1"/>
        <v>0</v>
      </c>
      <c r="P971" s="14"/>
      <c r="Q971" s="13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1"/>
      <c r="M972" s="11"/>
      <c r="N972" s="11"/>
      <c r="O972" s="11">
        <f t="shared" si="1"/>
        <v>0</v>
      </c>
      <c r="P972" s="14"/>
      <c r="Q972" s="13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1"/>
      <c r="M973" s="11"/>
      <c r="N973" s="11"/>
      <c r="O973" s="11">
        <f t="shared" si="1"/>
        <v>0</v>
      </c>
      <c r="P973" s="14"/>
      <c r="Q973" s="13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1"/>
      <c r="M974" s="11"/>
      <c r="N974" s="11"/>
      <c r="O974" s="11">
        <f t="shared" si="1"/>
        <v>0</v>
      </c>
      <c r="P974" s="14"/>
      <c r="Q974" s="13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1"/>
      <c r="M975" s="11"/>
      <c r="N975" s="11"/>
      <c r="O975" s="11">
        <f t="shared" si="1"/>
        <v>0</v>
      </c>
      <c r="P975" s="14"/>
      <c r="Q975" s="13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1"/>
      <c r="M976" s="11"/>
      <c r="N976" s="11"/>
      <c r="O976" s="11">
        <f t="shared" si="1"/>
        <v>0</v>
      </c>
      <c r="P976" s="14"/>
      <c r="Q976" s="13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1"/>
      <c r="M977" s="11"/>
      <c r="N977" s="11"/>
      <c r="O977" s="11">
        <f t="shared" si="1"/>
        <v>0</v>
      </c>
      <c r="P977" s="14"/>
      <c r="Q977" s="13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1"/>
      <c r="M978" s="11"/>
      <c r="N978" s="11"/>
      <c r="O978" s="11">
        <f t="shared" si="1"/>
        <v>0</v>
      </c>
      <c r="P978" s="14"/>
      <c r="Q978" s="13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1"/>
      <c r="M979" s="11"/>
      <c r="N979" s="11"/>
      <c r="O979" s="11">
        <f t="shared" si="1"/>
        <v>0</v>
      </c>
      <c r="P979" s="14"/>
      <c r="Q979" s="13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1"/>
      <c r="M980" s="11"/>
      <c r="N980" s="11"/>
      <c r="O980" s="11">
        <f t="shared" si="1"/>
        <v>0</v>
      </c>
      <c r="P980" s="14"/>
      <c r="Q980" s="13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1"/>
      <c r="M981" s="11"/>
      <c r="N981" s="11"/>
      <c r="O981" s="11">
        <f t="shared" si="1"/>
        <v>0</v>
      </c>
      <c r="P981" s="14"/>
      <c r="Q981" s="13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1"/>
      <c r="M982" s="11"/>
      <c r="N982" s="11"/>
      <c r="O982" s="11">
        <f t="shared" si="1"/>
        <v>0</v>
      </c>
      <c r="P982" s="14"/>
      <c r="Q982" s="13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1"/>
      <c r="M983" s="11"/>
      <c r="N983" s="11"/>
      <c r="O983" s="11">
        <f t="shared" si="1"/>
        <v>0</v>
      </c>
      <c r="P983" s="14"/>
      <c r="Q983" s="13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1"/>
      <c r="M984" s="11"/>
      <c r="N984" s="11"/>
      <c r="O984" s="11">
        <f t="shared" si="1"/>
        <v>0</v>
      </c>
      <c r="P984" s="14"/>
      <c r="Q984" s="13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1"/>
      <c r="M985" s="11"/>
      <c r="N985" s="11"/>
      <c r="O985" s="11">
        <f t="shared" si="1"/>
        <v>0</v>
      </c>
      <c r="P985" s="14"/>
      <c r="Q985" s="13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1"/>
      <c r="M986" s="11"/>
      <c r="N986" s="11"/>
      <c r="O986" s="11">
        <f t="shared" si="1"/>
        <v>0</v>
      </c>
      <c r="P986" s="14"/>
      <c r="Q986" s="13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1"/>
      <c r="M987" s="11"/>
      <c r="N987" s="11"/>
      <c r="O987" s="11">
        <f t="shared" si="1"/>
        <v>0</v>
      </c>
      <c r="P987" s="14"/>
      <c r="Q987" s="13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1"/>
      <c r="M988" s="11"/>
      <c r="N988" s="11"/>
      <c r="O988" s="11">
        <f t="shared" si="1"/>
        <v>0</v>
      </c>
      <c r="P988" s="14"/>
      <c r="Q988" s="13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1"/>
      <c r="M989" s="11"/>
      <c r="N989" s="11"/>
      <c r="O989" s="11">
        <f t="shared" si="1"/>
        <v>0</v>
      </c>
      <c r="P989" s="14"/>
      <c r="Q989" s="13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1"/>
      <c r="M990" s="11"/>
      <c r="N990" s="11"/>
      <c r="O990" s="11">
        <f t="shared" si="1"/>
        <v>0</v>
      </c>
      <c r="P990" s="14"/>
      <c r="Q990" s="13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1"/>
      <c r="M991" s="11"/>
      <c r="N991" s="11"/>
      <c r="O991" s="11">
        <f t="shared" si="1"/>
        <v>0</v>
      </c>
      <c r="P991" s="14"/>
      <c r="Q991" s="13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1"/>
      <c r="M992" s="11"/>
      <c r="N992" s="11"/>
      <c r="O992" s="11">
        <f t="shared" si="1"/>
        <v>0</v>
      </c>
      <c r="P992" s="14"/>
      <c r="Q992" s="13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1"/>
      <c r="M993" s="11"/>
      <c r="N993" s="11"/>
      <c r="O993" s="11">
        <f t="shared" si="1"/>
        <v>0</v>
      </c>
      <c r="P993" s="14"/>
      <c r="Q993" s="13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1"/>
      <c r="M994" s="11"/>
      <c r="N994" s="11"/>
      <c r="O994" s="11">
        <f t="shared" si="1"/>
        <v>0</v>
      </c>
      <c r="P994" s="14"/>
      <c r="Q994" s="13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1"/>
      <c r="M995" s="11"/>
      <c r="N995" s="11"/>
      <c r="O995" s="11">
        <f t="shared" si="1"/>
        <v>0</v>
      </c>
      <c r="P995" s="14"/>
      <c r="Q995" s="13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1"/>
      <c r="M996" s="11"/>
      <c r="N996" s="11"/>
      <c r="O996" s="11">
        <f t="shared" si="1"/>
        <v>0</v>
      </c>
      <c r="P996" s="14"/>
      <c r="Q996" s="13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1"/>
      <c r="M997" s="11"/>
      <c r="N997" s="11"/>
      <c r="O997" s="11">
        <f t="shared" si="1"/>
        <v>0</v>
      </c>
      <c r="P997" s="14"/>
      <c r="Q997" s="13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1"/>
      <c r="M998" s="11"/>
      <c r="N998" s="11"/>
      <c r="O998" s="11">
        <f t="shared" si="1"/>
        <v>0</v>
      </c>
      <c r="P998" s="14"/>
      <c r="Q998" s="13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1"/>
      <c r="M999" s="11"/>
      <c r="N999" s="11"/>
      <c r="O999" s="11">
        <f t="shared" si="1"/>
        <v>0</v>
      </c>
      <c r="P999" s="14"/>
      <c r="Q999" s="13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1"/>
      <c r="M1000" s="11"/>
      <c r="N1000" s="11"/>
      <c r="O1000" s="11">
        <f t="shared" si="1"/>
        <v>0</v>
      </c>
      <c r="P1000" s="14"/>
      <c r="Q1000" s="13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1"/>
      <c r="M1001" s="11"/>
      <c r="N1001" s="11"/>
      <c r="O1001" s="11">
        <f t="shared" si="1"/>
        <v>0</v>
      </c>
      <c r="P1001" s="14"/>
      <c r="Q1001" s="13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1"/>
      <c r="M1002" s="11"/>
      <c r="N1002" s="11"/>
      <c r="O1002" s="11">
        <f t="shared" si="1"/>
        <v>0</v>
      </c>
      <c r="P1002" s="14"/>
      <c r="Q1002" s="13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1"/>
      <c r="M1003" s="11"/>
      <c r="N1003" s="11"/>
      <c r="O1003" s="11">
        <f t="shared" si="1"/>
        <v>0</v>
      </c>
      <c r="P1003" s="14"/>
      <c r="Q1003" s="13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1"/>
      <c r="M1004" s="11"/>
      <c r="N1004" s="11"/>
      <c r="O1004" s="11">
        <f t="shared" si="1"/>
        <v>0</v>
      </c>
      <c r="P1004" s="14"/>
      <c r="Q1004" s="13"/>
    </row>
    <row r="1005" ht="15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1"/>
      <c r="M1005" s="11"/>
      <c r="N1005" s="11"/>
      <c r="O1005" s="11">
        <f t="shared" si="1"/>
        <v>0</v>
      </c>
      <c r="P1005" s="14"/>
      <c r="Q1005" s="13"/>
    </row>
  </sheetData>
  <conditionalFormatting sqref="O6:O100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18.71"/>
    <col customWidth="1" min="3" max="3" width="40.71"/>
    <col customWidth="1" min="4" max="26" width="8.71"/>
  </cols>
  <sheetData>
    <row r="1">
      <c r="A1" s="5" t="s">
        <v>23</v>
      </c>
      <c r="B1" s="5" t="s">
        <v>24</v>
      </c>
      <c r="C1" s="5" t="s">
        <v>18</v>
      </c>
    </row>
    <row r="2">
      <c r="A2" s="14" t="s">
        <v>25</v>
      </c>
      <c r="B2" s="7">
        <f>COUNTA(Entries!A:A)-1</f>
        <v>2</v>
      </c>
      <c r="C2" s="13"/>
    </row>
    <row r="3">
      <c r="A3" s="12" t="s">
        <v>26</v>
      </c>
      <c r="B3" s="11">
        <f>SUM(Entries!L:L)</f>
        <v>11.2</v>
      </c>
      <c r="C3" s="13"/>
    </row>
    <row r="4">
      <c r="A4" s="12" t="s">
        <v>27</v>
      </c>
      <c r="B4" s="11">
        <f>SUM(Entries!M:M)</f>
        <v>11.6</v>
      </c>
      <c r="C4" s="13"/>
    </row>
    <row r="5">
      <c r="A5" s="12" t="s">
        <v>28</v>
      </c>
      <c r="B5" s="11">
        <f>SUM(Entries!N:N)</f>
        <v>1.36</v>
      </c>
      <c r="C5" s="13"/>
    </row>
    <row r="6">
      <c r="A6" s="12" t="s">
        <v>29</v>
      </c>
      <c r="B6" s="11">
        <f>SUM(Entries!O:O)</f>
        <v>-0.96</v>
      </c>
      <c r="C6" s="13"/>
    </row>
    <row r="7">
      <c r="A7" s="14" t="s">
        <v>30</v>
      </c>
      <c r="B7" s="16">
        <f>IFERROR(SUM(Entries!O:O)/SUM(Entries!L:L),0)</f>
        <v>-0.08571428571</v>
      </c>
      <c r="C7" s="13"/>
    </row>
    <row r="8">
      <c r="A8" s="14" t="s">
        <v>31</v>
      </c>
      <c r="B8" s="7">
        <f>COUNTIF(Entries!O:O,"&gt;0")</f>
        <v>1</v>
      </c>
      <c r="C8" s="13"/>
    </row>
    <row r="9">
      <c r="A9" s="14" t="s">
        <v>32</v>
      </c>
      <c r="B9" s="7">
        <f>COUNTIF(Entries!O:O,"&lt;0")</f>
        <v>1</v>
      </c>
      <c r="C9" s="13"/>
    </row>
    <row r="10">
      <c r="A10" s="14" t="s">
        <v>33</v>
      </c>
      <c r="B10" s="7">
        <f>COUNTIF(Entries!O:O,"=0")</f>
        <v>998</v>
      </c>
      <c r="C10" s="13"/>
    </row>
    <row r="11">
      <c r="A11" s="14" t="s">
        <v>34</v>
      </c>
      <c r="B11" s="16">
        <f>IFERROR(COUNTIF(Entries!M:M,"&gt;0")/(COUNTA(Entries!A:A)-1),0)</f>
        <v>0.5</v>
      </c>
      <c r="C11" s="13"/>
    </row>
    <row r="12">
      <c r="A12" s="14"/>
      <c r="B12" s="14"/>
      <c r="C12" s="13"/>
    </row>
    <row r="13">
      <c r="A13" s="14"/>
      <c r="B13" s="14"/>
      <c r="C13" s="13"/>
    </row>
    <row r="14">
      <c r="A14" s="14"/>
      <c r="B14" s="14"/>
      <c r="C14" s="13"/>
    </row>
    <row r="15">
      <c r="A15" s="5" t="s">
        <v>35</v>
      </c>
      <c r="B15" s="5" t="s">
        <v>24</v>
      </c>
      <c r="C15" s="13"/>
    </row>
    <row r="16">
      <c r="A16" s="12" t="s">
        <v>26</v>
      </c>
      <c r="B16" s="11">
        <f t="shared" ref="B16:B17" si="1">B3</f>
        <v>11.2</v>
      </c>
      <c r="C16" s="13"/>
    </row>
    <row r="17">
      <c r="A17" s="12" t="s">
        <v>27</v>
      </c>
      <c r="B17" s="11">
        <f t="shared" si="1"/>
        <v>11.6</v>
      </c>
      <c r="C17" s="13"/>
    </row>
    <row r="18">
      <c r="A18" s="12" t="s">
        <v>29</v>
      </c>
      <c r="B18" s="11">
        <f>B6</f>
        <v>-0.96</v>
      </c>
      <c r="C18" s="13"/>
    </row>
    <row r="19">
      <c r="A19" s="14"/>
      <c r="B19" s="14"/>
      <c r="C19" s="13"/>
    </row>
    <row r="20">
      <c r="A20" s="14"/>
      <c r="B20" s="14"/>
      <c r="C20" s="13"/>
    </row>
    <row r="21" ht="15.75" customHeight="1">
      <c r="A21" s="5" t="s">
        <v>36</v>
      </c>
      <c r="B21" s="5" t="s">
        <v>37</v>
      </c>
      <c r="C21" s="13"/>
    </row>
    <row r="22" ht="15.75" customHeight="1">
      <c r="A22" s="14" t="s">
        <v>31</v>
      </c>
      <c r="B22" s="7">
        <f t="shared" ref="B22:B24" si="2">B8</f>
        <v>1</v>
      </c>
      <c r="C22" s="13"/>
    </row>
    <row r="23" ht="15.75" customHeight="1">
      <c r="A23" s="14" t="s">
        <v>32</v>
      </c>
      <c r="B23" s="7">
        <f t="shared" si="2"/>
        <v>1</v>
      </c>
      <c r="C23" s="13"/>
    </row>
    <row r="24" ht="15.75" customHeight="1">
      <c r="A24" s="14" t="s">
        <v>33</v>
      </c>
      <c r="B24" s="7">
        <f t="shared" si="2"/>
        <v>998</v>
      </c>
      <c r="C24" s="13"/>
    </row>
    <row r="25" ht="15.75" customHeight="1">
      <c r="A25" s="14"/>
      <c r="B25" s="14"/>
      <c r="C25" s="13"/>
    </row>
    <row r="26" ht="15.75" customHeight="1">
      <c r="A26" s="14"/>
      <c r="B26" s="14"/>
      <c r="C26" s="13"/>
    </row>
    <row r="27" ht="15.75" customHeight="1">
      <c r="A27" s="14"/>
      <c r="B27" s="14"/>
      <c r="C27" s="13"/>
    </row>
    <row r="28" ht="15.75" customHeight="1">
      <c r="A28" s="14"/>
      <c r="B28" s="14"/>
      <c r="C28" s="13"/>
    </row>
    <row r="29" ht="15.75" customHeight="1">
      <c r="A29" s="14"/>
      <c r="B29" s="14"/>
      <c r="C29" s="13"/>
    </row>
    <row r="30" ht="15.75" customHeight="1">
      <c r="A30" s="14"/>
      <c r="B30" s="14"/>
      <c r="C30" s="13"/>
    </row>
    <row r="31" ht="15.75" customHeight="1">
      <c r="A31" s="14"/>
      <c r="B31" s="14"/>
      <c r="C31" s="13"/>
    </row>
    <row r="32" ht="15.75" customHeight="1">
      <c r="A32" s="14"/>
      <c r="B32" s="14"/>
      <c r="C32" s="13"/>
    </row>
    <row r="33" ht="15.75" customHeight="1">
      <c r="A33" s="14"/>
      <c r="B33" s="14"/>
      <c r="C33" s="13"/>
    </row>
    <row r="34" ht="15.75" customHeight="1">
      <c r="A34" s="14"/>
      <c r="B34" s="14"/>
      <c r="C34" s="13"/>
    </row>
    <row r="35" ht="15.75" customHeight="1">
      <c r="A35" s="14"/>
      <c r="B35" s="14"/>
      <c r="C35" s="13"/>
    </row>
    <row r="36" ht="15.75" customHeight="1">
      <c r="A36" s="14"/>
      <c r="B36" s="14"/>
      <c r="C36" s="13"/>
    </row>
    <row r="37" ht="15.75" customHeight="1">
      <c r="A37" s="14"/>
      <c r="B37" s="14"/>
      <c r="C37" s="13"/>
    </row>
    <row r="38" ht="15.75" customHeight="1">
      <c r="A38" s="14"/>
      <c r="B38" s="14"/>
      <c r="C38" s="13"/>
    </row>
    <row r="39" ht="15.75" customHeight="1">
      <c r="A39" s="14"/>
      <c r="B39" s="14"/>
      <c r="C39" s="13"/>
    </row>
    <row r="40" ht="15.75" customHeight="1">
      <c r="A40" s="14"/>
      <c r="B40" s="14"/>
      <c r="C40" s="13"/>
    </row>
    <row r="41" ht="15.75" customHeight="1">
      <c r="A41" s="14"/>
      <c r="B41" s="14"/>
      <c r="C41" s="13"/>
    </row>
    <row r="42" ht="15.75" customHeight="1">
      <c r="A42" s="14"/>
      <c r="B42" s="14"/>
      <c r="C42" s="13"/>
    </row>
    <row r="43" ht="15.75" customHeight="1">
      <c r="A43" s="14"/>
      <c r="B43" s="14"/>
      <c r="C43" s="13"/>
    </row>
    <row r="44" ht="15.75" customHeight="1">
      <c r="A44" s="14"/>
      <c r="B44" s="14"/>
      <c r="C44" s="13"/>
    </row>
    <row r="45" ht="15.75" customHeight="1">
      <c r="A45" s="14"/>
      <c r="B45" s="14"/>
      <c r="C45" s="13"/>
    </row>
    <row r="46" ht="15.75" customHeight="1">
      <c r="A46" s="14"/>
      <c r="B46" s="14"/>
      <c r="C46" s="13"/>
    </row>
    <row r="47" ht="15.75" customHeight="1">
      <c r="A47" s="14"/>
      <c r="B47" s="14"/>
      <c r="C47" s="13"/>
    </row>
    <row r="48" ht="15.75" customHeight="1">
      <c r="A48" s="14"/>
      <c r="B48" s="14"/>
      <c r="C48" s="13"/>
    </row>
    <row r="49" ht="15.75" customHeight="1">
      <c r="A49" s="14"/>
      <c r="B49" s="14"/>
      <c r="C49" s="13"/>
    </row>
    <row r="50" ht="15.75" customHeight="1">
      <c r="A50" s="14"/>
      <c r="B50" s="14"/>
      <c r="C50" s="13"/>
    </row>
    <row r="51" ht="15.75" customHeight="1">
      <c r="A51" s="14"/>
      <c r="B51" s="14"/>
      <c r="C51" s="13"/>
    </row>
    <row r="52" ht="15.75" customHeight="1">
      <c r="A52" s="14"/>
      <c r="B52" s="14"/>
      <c r="C52" s="13"/>
    </row>
    <row r="53" ht="15.75" customHeight="1">
      <c r="A53" s="14"/>
      <c r="B53" s="14"/>
      <c r="C53" s="13"/>
    </row>
    <row r="54" ht="15.75" customHeight="1">
      <c r="A54" s="14"/>
      <c r="B54" s="14"/>
      <c r="C54" s="13"/>
    </row>
    <row r="55" ht="15.75" customHeight="1">
      <c r="A55" s="14"/>
      <c r="B55" s="14"/>
      <c r="C55" s="13"/>
    </row>
    <row r="56" ht="15.75" customHeight="1">
      <c r="A56" s="14"/>
      <c r="B56" s="14"/>
      <c r="C56" s="13"/>
    </row>
    <row r="57" ht="15.75" customHeight="1">
      <c r="A57" s="14"/>
      <c r="B57" s="14"/>
      <c r="C57" s="13"/>
    </row>
    <row r="58" ht="15.75" customHeight="1">
      <c r="A58" s="14"/>
      <c r="B58" s="14"/>
      <c r="C58" s="13"/>
    </row>
    <row r="59" ht="15.75" customHeight="1">
      <c r="A59" s="14"/>
      <c r="B59" s="14"/>
      <c r="C59" s="13"/>
    </row>
    <row r="60" ht="15.75" customHeight="1">
      <c r="A60" s="14"/>
      <c r="B60" s="14"/>
      <c r="C60" s="13"/>
    </row>
    <row r="61" ht="15.75" customHeight="1">
      <c r="A61" s="14"/>
      <c r="B61" s="14"/>
      <c r="C61" s="13"/>
    </row>
    <row r="62" ht="15.75" customHeight="1">
      <c r="A62" s="14"/>
      <c r="B62" s="14"/>
      <c r="C62" s="13"/>
    </row>
    <row r="63" ht="15.75" customHeight="1">
      <c r="A63" s="14"/>
      <c r="B63" s="14"/>
      <c r="C63" s="13"/>
    </row>
    <row r="64" ht="15.75" customHeight="1">
      <c r="A64" s="14"/>
      <c r="B64" s="14"/>
      <c r="C64" s="13"/>
    </row>
    <row r="65" ht="15.75" customHeight="1">
      <c r="A65" s="14"/>
      <c r="B65" s="14"/>
      <c r="C65" s="13"/>
    </row>
    <row r="66" ht="15.75" customHeight="1">
      <c r="A66" s="14"/>
      <c r="B66" s="14"/>
      <c r="C66" s="13"/>
    </row>
    <row r="67" ht="15.75" customHeight="1">
      <c r="A67" s="14"/>
      <c r="B67" s="14"/>
      <c r="C67" s="13"/>
    </row>
    <row r="68" ht="15.75" customHeight="1">
      <c r="A68" s="14"/>
      <c r="B68" s="14"/>
      <c r="C68" s="13"/>
    </row>
    <row r="69" ht="15.75" customHeight="1">
      <c r="A69" s="14"/>
      <c r="B69" s="14"/>
      <c r="C69" s="13"/>
    </row>
    <row r="70" ht="15.75" customHeight="1">
      <c r="A70" s="14"/>
      <c r="B70" s="14"/>
      <c r="C70" s="13"/>
    </row>
    <row r="71" ht="15.75" customHeight="1">
      <c r="A71" s="14"/>
      <c r="B71" s="14"/>
      <c r="C71" s="13"/>
    </row>
    <row r="72" ht="15.75" customHeight="1">
      <c r="A72" s="14"/>
      <c r="B72" s="14"/>
      <c r="C72" s="13"/>
    </row>
    <row r="73" ht="15.75" customHeight="1">
      <c r="A73" s="14"/>
      <c r="B73" s="14"/>
      <c r="C73" s="13"/>
    </row>
    <row r="74" ht="15.75" customHeight="1">
      <c r="A74" s="14"/>
      <c r="B74" s="14"/>
      <c r="C74" s="13"/>
    </row>
    <row r="75" ht="15.75" customHeight="1">
      <c r="A75" s="14"/>
      <c r="B75" s="14"/>
      <c r="C75" s="13"/>
    </row>
    <row r="76" ht="15.75" customHeight="1">
      <c r="A76" s="14"/>
      <c r="B76" s="14"/>
      <c r="C76" s="13"/>
    </row>
    <row r="77" ht="15.75" customHeight="1">
      <c r="A77" s="14"/>
      <c r="B77" s="14"/>
      <c r="C77" s="13"/>
    </row>
    <row r="78" ht="15.75" customHeight="1">
      <c r="A78" s="14"/>
      <c r="B78" s="14"/>
      <c r="C78" s="13"/>
    </row>
    <row r="79" ht="15.75" customHeight="1">
      <c r="A79" s="14"/>
      <c r="B79" s="14"/>
      <c r="C79" s="13"/>
    </row>
    <row r="80" ht="15.75" customHeight="1">
      <c r="A80" s="14"/>
      <c r="B80" s="14"/>
      <c r="C80" s="13"/>
    </row>
    <row r="81" ht="15.75" customHeight="1">
      <c r="A81" s="14"/>
      <c r="B81" s="14"/>
      <c r="C81" s="13"/>
    </row>
    <row r="82" ht="15.75" customHeight="1">
      <c r="A82" s="14"/>
      <c r="B82" s="14"/>
      <c r="C82" s="13"/>
    </row>
    <row r="83" ht="15.75" customHeight="1">
      <c r="A83" s="14"/>
      <c r="B83" s="14"/>
      <c r="C83" s="13"/>
    </row>
    <row r="84" ht="15.75" customHeight="1">
      <c r="A84" s="14"/>
      <c r="B84" s="14"/>
      <c r="C84" s="13"/>
    </row>
    <row r="85" ht="15.75" customHeight="1">
      <c r="A85" s="14"/>
      <c r="B85" s="14"/>
      <c r="C85" s="13"/>
    </row>
    <row r="86" ht="15.75" customHeight="1">
      <c r="A86" s="14"/>
      <c r="B86" s="14"/>
      <c r="C86" s="13"/>
    </row>
    <row r="87" ht="15.75" customHeight="1">
      <c r="A87" s="14"/>
      <c r="B87" s="14"/>
      <c r="C87" s="13"/>
    </row>
    <row r="88" ht="15.75" customHeight="1">
      <c r="A88" s="14"/>
      <c r="B88" s="14"/>
      <c r="C88" s="13"/>
    </row>
    <row r="89" ht="15.75" customHeight="1">
      <c r="A89" s="14"/>
      <c r="B89" s="14"/>
      <c r="C89" s="13"/>
    </row>
    <row r="90" ht="15.75" customHeight="1">
      <c r="A90" s="14"/>
      <c r="B90" s="14"/>
      <c r="C90" s="13"/>
    </row>
    <row r="91" ht="15.75" customHeight="1">
      <c r="A91" s="14"/>
      <c r="B91" s="14"/>
      <c r="C91" s="13"/>
    </row>
    <row r="92" ht="15.75" customHeight="1">
      <c r="A92" s="14"/>
      <c r="B92" s="14"/>
      <c r="C92" s="13"/>
    </row>
    <row r="93" ht="15.75" customHeight="1">
      <c r="A93" s="14"/>
      <c r="B93" s="14"/>
      <c r="C93" s="13"/>
    </row>
    <row r="94" ht="15.75" customHeight="1">
      <c r="A94" s="14"/>
      <c r="B94" s="14"/>
      <c r="C94" s="13"/>
    </row>
    <row r="95" ht="15.75" customHeight="1">
      <c r="A95" s="14"/>
      <c r="B95" s="14"/>
      <c r="C95" s="13"/>
    </row>
    <row r="96" ht="15.75" customHeight="1">
      <c r="A96" s="14"/>
      <c r="B96" s="14"/>
      <c r="C96" s="13"/>
    </row>
    <row r="97" ht="15.75" customHeight="1">
      <c r="A97" s="14"/>
      <c r="B97" s="14"/>
      <c r="C97" s="13"/>
    </row>
    <row r="98" ht="15.75" customHeight="1">
      <c r="A98" s="14"/>
      <c r="B98" s="14"/>
      <c r="C98" s="13"/>
    </row>
    <row r="99" ht="15.75" customHeight="1">
      <c r="A99" s="14"/>
      <c r="B99" s="14"/>
      <c r="C99" s="13"/>
    </row>
    <row r="100" ht="15.75" customHeight="1">
      <c r="A100" s="14"/>
      <c r="B100" s="14"/>
      <c r="C100" s="13"/>
    </row>
    <row r="101" ht="15.75" customHeight="1">
      <c r="A101" s="14"/>
      <c r="B101" s="14"/>
      <c r="C101" s="13"/>
    </row>
    <row r="102" ht="15.75" customHeight="1">
      <c r="A102" s="14"/>
      <c r="B102" s="14"/>
      <c r="C102" s="13"/>
    </row>
    <row r="103" ht="15.75" customHeight="1">
      <c r="A103" s="14"/>
      <c r="B103" s="14"/>
      <c r="C103" s="13"/>
    </row>
    <row r="104" ht="15.75" customHeight="1">
      <c r="A104" s="14"/>
      <c r="B104" s="14"/>
      <c r="C104" s="13"/>
    </row>
    <row r="105" ht="15.75" customHeight="1">
      <c r="A105" s="14"/>
      <c r="B105" s="14"/>
      <c r="C105" s="13"/>
    </row>
    <row r="106" ht="15.75" customHeight="1">
      <c r="A106" s="14"/>
      <c r="B106" s="14"/>
      <c r="C106" s="13"/>
    </row>
    <row r="107" ht="15.75" customHeight="1">
      <c r="A107" s="14"/>
      <c r="B107" s="14"/>
      <c r="C107" s="13"/>
    </row>
    <row r="108" ht="15.75" customHeight="1">
      <c r="A108" s="14"/>
      <c r="B108" s="14"/>
      <c r="C108" s="13"/>
    </row>
    <row r="109" ht="15.75" customHeight="1">
      <c r="A109" s="14"/>
      <c r="B109" s="14"/>
      <c r="C109" s="13"/>
    </row>
    <row r="110" ht="15.75" customHeight="1">
      <c r="A110" s="14"/>
      <c r="B110" s="14"/>
      <c r="C110" s="13"/>
    </row>
    <row r="111" ht="15.75" customHeight="1">
      <c r="A111" s="14"/>
      <c r="B111" s="14"/>
      <c r="C111" s="13"/>
    </row>
    <row r="112" ht="15.75" customHeight="1">
      <c r="A112" s="14"/>
      <c r="B112" s="14"/>
      <c r="C112" s="13"/>
    </row>
    <row r="113" ht="15.75" customHeight="1">
      <c r="A113" s="14"/>
      <c r="B113" s="14"/>
      <c r="C113" s="13"/>
    </row>
    <row r="114" ht="15.75" customHeight="1">
      <c r="A114" s="14"/>
      <c r="B114" s="14"/>
      <c r="C114" s="13"/>
    </row>
    <row r="115" ht="15.75" customHeight="1">
      <c r="A115" s="14"/>
      <c r="B115" s="14"/>
      <c r="C115" s="13"/>
    </row>
    <row r="116" ht="15.75" customHeight="1">
      <c r="A116" s="14"/>
      <c r="B116" s="14"/>
      <c r="C116" s="13"/>
    </row>
    <row r="117" ht="15.75" customHeight="1">
      <c r="A117" s="14"/>
      <c r="B117" s="14"/>
      <c r="C117" s="13"/>
    </row>
    <row r="118" ht="15.75" customHeight="1">
      <c r="A118" s="14"/>
      <c r="B118" s="14"/>
      <c r="C118" s="13"/>
    </row>
    <row r="119" ht="15.75" customHeight="1">
      <c r="A119" s="14"/>
      <c r="B119" s="14"/>
      <c r="C119" s="13"/>
    </row>
    <row r="120" ht="15.75" customHeight="1">
      <c r="A120" s="14"/>
      <c r="B120" s="14"/>
      <c r="C120" s="13"/>
    </row>
    <row r="121" ht="15.75" customHeight="1">
      <c r="A121" s="14"/>
      <c r="B121" s="14"/>
      <c r="C121" s="13"/>
    </row>
    <row r="122" ht="15.75" customHeight="1">
      <c r="A122" s="14"/>
      <c r="B122" s="14"/>
      <c r="C122" s="13"/>
    </row>
    <row r="123" ht="15.75" customHeight="1">
      <c r="A123" s="14"/>
      <c r="B123" s="14"/>
      <c r="C123" s="13"/>
    </row>
    <row r="124" ht="15.75" customHeight="1">
      <c r="A124" s="14"/>
      <c r="B124" s="14"/>
      <c r="C124" s="13"/>
    </row>
    <row r="125" ht="15.75" customHeight="1">
      <c r="A125" s="14"/>
      <c r="B125" s="14"/>
      <c r="C125" s="13"/>
    </row>
    <row r="126" ht="15.75" customHeight="1">
      <c r="A126" s="14"/>
      <c r="B126" s="14"/>
      <c r="C126" s="13"/>
    </row>
    <row r="127" ht="15.75" customHeight="1">
      <c r="A127" s="14"/>
      <c r="B127" s="14"/>
      <c r="C127" s="13"/>
    </row>
    <row r="128" ht="15.75" customHeight="1">
      <c r="A128" s="14"/>
      <c r="B128" s="14"/>
      <c r="C128" s="13"/>
    </row>
    <row r="129" ht="15.75" customHeight="1">
      <c r="A129" s="14"/>
      <c r="B129" s="14"/>
      <c r="C129" s="13"/>
    </row>
    <row r="130" ht="15.75" customHeight="1">
      <c r="A130" s="14"/>
      <c r="B130" s="14"/>
      <c r="C130" s="13"/>
    </row>
    <row r="131" ht="15.75" customHeight="1">
      <c r="A131" s="14"/>
      <c r="B131" s="14"/>
      <c r="C131" s="13"/>
    </row>
    <row r="132" ht="15.75" customHeight="1">
      <c r="A132" s="14"/>
      <c r="B132" s="14"/>
      <c r="C132" s="13"/>
    </row>
    <row r="133" ht="15.75" customHeight="1">
      <c r="A133" s="14"/>
      <c r="B133" s="14"/>
      <c r="C133" s="13"/>
    </row>
    <row r="134" ht="15.75" customHeight="1">
      <c r="A134" s="14"/>
      <c r="B134" s="14"/>
      <c r="C134" s="13"/>
    </row>
    <row r="135" ht="15.75" customHeight="1">
      <c r="A135" s="14"/>
      <c r="B135" s="14"/>
      <c r="C135" s="13"/>
    </row>
    <row r="136" ht="15.75" customHeight="1">
      <c r="A136" s="14"/>
      <c r="B136" s="14"/>
      <c r="C136" s="13"/>
    </row>
    <row r="137" ht="15.75" customHeight="1">
      <c r="A137" s="14"/>
      <c r="B137" s="14"/>
      <c r="C137" s="13"/>
    </row>
    <row r="138" ht="15.75" customHeight="1">
      <c r="A138" s="14"/>
      <c r="B138" s="14"/>
      <c r="C138" s="13"/>
    </row>
    <row r="139" ht="15.75" customHeight="1">
      <c r="A139" s="14"/>
      <c r="B139" s="14"/>
      <c r="C139" s="13"/>
    </row>
    <row r="140" ht="15.75" customHeight="1">
      <c r="A140" s="14"/>
      <c r="B140" s="14"/>
      <c r="C140" s="13"/>
    </row>
    <row r="141" ht="15.75" customHeight="1">
      <c r="A141" s="14"/>
      <c r="B141" s="14"/>
      <c r="C141" s="13"/>
    </row>
    <row r="142" ht="15.75" customHeight="1">
      <c r="A142" s="14"/>
      <c r="B142" s="14"/>
      <c r="C142" s="13"/>
    </row>
    <row r="143" ht="15.75" customHeight="1">
      <c r="A143" s="14"/>
      <c r="B143" s="14"/>
      <c r="C143" s="13"/>
    </row>
    <row r="144" ht="15.75" customHeight="1">
      <c r="A144" s="14"/>
      <c r="B144" s="14"/>
      <c r="C144" s="13"/>
    </row>
    <row r="145" ht="15.75" customHeight="1">
      <c r="A145" s="14"/>
      <c r="B145" s="14"/>
      <c r="C145" s="13"/>
    </row>
    <row r="146" ht="15.75" customHeight="1">
      <c r="A146" s="14"/>
      <c r="B146" s="14"/>
      <c r="C146" s="13"/>
    </row>
    <row r="147" ht="15.75" customHeight="1">
      <c r="A147" s="14"/>
      <c r="B147" s="14"/>
      <c r="C147" s="13"/>
    </row>
    <row r="148" ht="15.75" customHeight="1">
      <c r="A148" s="14"/>
      <c r="B148" s="14"/>
      <c r="C148" s="13"/>
    </row>
    <row r="149" ht="15.75" customHeight="1">
      <c r="A149" s="14"/>
      <c r="B149" s="14"/>
      <c r="C149" s="13"/>
    </row>
    <row r="150" ht="15.75" customHeight="1">
      <c r="A150" s="14"/>
      <c r="B150" s="14"/>
      <c r="C150" s="13"/>
    </row>
    <row r="151" ht="15.75" customHeight="1">
      <c r="A151" s="14"/>
      <c r="B151" s="14"/>
      <c r="C151" s="13"/>
    </row>
    <row r="152" ht="15.75" customHeight="1">
      <c r="A152" s="14"/>
      <c r="B152" s="14"/>
      <c r="C152" s="13"/>
    </row>
    <row r="153" ht="15.75" customHeight="1">
      <c r="A153" s="14"/>
      <c r="B153" s="14"/>
      <c r="C153" s="13"/>
    </row>
    <row r="154" ht="15.75" customHeight="1">
      <c r="A154" s="14"/>
      <c r="B154" s="14"/>
      <c r="C154" s="13"/>
    </row>
    <row r="155" ht="15.75" customHeight="1">
      <c r="A155" s="14"/>
      <c r="B155" s="14"/>
      <c r="C155" s="13"/>
    </row>
    <row r="156" ht="15.75" customHeight="1">
      <c r="A156" s="14"/>
      <c r="B156" s="14"/>
      <c r="C156" s="13"/>
    </row>
    <row r="157" ht="15.75" customHeight="1">
      <c r="A157" s="14"/>
      <c r="B157" s="14"/>
      <c r="C157" s="13"/>
    </row>
    <row r="158" ht="15.75" customHeight="1">
      <c r="A158" s="14"/>
      <c r="B158" s="14"/>
      <c r="C158" s="13"/>
    </row>
    <row r="159" ht="15.75" customHeight="1">
      <c r="A159" s="14"/>
      <c r="B159" s="14"/>
      <c r="C159" s="13"/>
    </row>
    <row r="160" ht="15.75" customHeight="1">
      <c r="A160" s="14"/>
      <c r="B160" s="14"/>
      <c r="C160" s="13"/>
    </row>
    <row r="161" ht="15.75" customHeight="1">
      <c r="A161" s="14"/>
      <c r="B161" s="14"/>
      <c r="C161" s="13"/>
    </row>
    <row r="162" ht="15.75" customHeight="1">
      <c r="A162" s="14"/>
      <c r="B162" s="14"/>
      <c r="C162" s="13"/>
    </row>
    <row r="163" ht="15.75" customHeight="1">
      <c r="A163" s="14"/>
      <c r="B163" s="14"/>
      <c r="C163" s="13"/>
    </row>
    <row r="164" ht="15.75" customHeight="1">
      <c r="A164" s="14"/>
      <c r="B164" s="14"/>
      <c r="C164" s="13"/>
    </row>
    <row r="165" ht="15.75" customHeight="1">
      <c r="A165" s="14"/>
      <c r="B165" s="14"/>
      <c r="C165" s="13"/>
    </row>
    <row r="166" ht="15.75" customHeight="1">
      <c r="A166" s="14"/>
      <c r="B166" s="14"/>
      <c r="C166" s="13"/>
    </row>
    <row r="167" ht="15.75" customHeight="1">
      <c r="A167" s="14"/>
      <c r="B167" s="14"/>
      <c r="C167" s="13"/>
    </row>
    <row r="168" ht="15.75" customHeight="1">
      <c r="A168" s="14"/>
      <c r="B168" s="14"/>
      <c r="C168" s="13"/>
    </row>
    <row r="169" ht="15.75" customHeight="1">
      <c r="A169" s="14"/>
      <c r="B169" s="14"/>
      <c r="C169" s="13"/>
    </row>
    <row r="170" ht="15.75" customHeight="1">
      <c r="A170" s="14"/>
      <c r="B170" s="14"/>
      <c r="C170" s="13"/>
    </row>
    <row r="171" ht="15.75" customHeight="1">
      <c r="A171" s="14"/>
      <c r="B171" s="14"/>
      <c r="C171" s="13"/>
    </row>
    <row r="172" ht="15.75" customHeight="1">
      <c r="A172" s="14"/>
      <c r="B172" s="14"/>
      <c r="C172" s="13"/>
    </row>
    <row r="173" ht="15.75" customHeight="1">
      <c r="A173" s="14"/>
      <c r="B173" s="14"/>
      <c r="C173" s="13"/>
    </row>
    <row r="174" ht="15.75" customHeight="1">
      <c r="A174" s="14"/>
      <c r="B174" s="14"/>
      <c r="C174" s="13"/>
    </row>
    <row r="175" ht="15.75" customHeight="1">
      <c r="A175" s="14"/>
      <c r="B175" s="14"/>
      <c r="C175" s="13"/>
    </row>
    <row r="176" ht="15.75" customHeight="1">
      <c r="A176" s="14"/>
      <c r="B176" s="14"/>
      <c r="C176" s="13"/>
    </row>
    <row r="177" ht="15.75" customHeight="1">
      <c r="A177" s="14"/>
      <c r="B177" s="14"/>
      <c r="C177" s="13"/>
    </row>
    <row r="178" ht="15.75" customHeight="1">
      <c r="A178" s="14"/>
      <c r="B178" s="14"/>
      <c r="C178" s="13"/>
    </row>
    <row r="179" ht="15.75" customHeight="1">
      <c r="A179" s="14"/>
      <c r="B179" s="14"/>
      <c r="C179" s="13"/>
    </row>
    <row r="180" ht="15.75" customHeight="1">
      <c r="A180" s="14"/>
      <c r="B180" s="14"/>
      <c r="C180" s="13"/>
    </row>
    <row r="181" ht="15.75" customHeight="1">
      <c r="A181" s="14"/>
      <c r="B181" s="14"/>
      <c r="C181" s="13"/>
    </row>
    <row r="182" ht="15.75" customHeight="1">
      <c r="A182" s="14"/>
      <c r="B182" s="14"/>
      <c r="C182" s="13"/>
    </row>
    <row r="183" ht="15.75" customHeight="1">
      <c r="A183" s="14"/>
      <c r="B183" s="14"/>
      <c r="C183" s="13"/>
    </row>
    <row r="184" ht="15.75" customHeight="1">
      <c r="A184" s="14"/>
      <c r="B184" s="14"/>
      <c r="C184" s="13"/>
    </row>
    <row r="185" ht="15.75" customHeight="1">
      <c r="A185" s="14"/>
      <c r="B185" s="14"/>
      <c r="C185" s="13"/>
    </row>
    <row r="186" ht="15.75" customHeight="1">
      <c r="A186" s="14"/>
      <c r="B186" s="14"/>
      <c r="C186" s="13"/>
    </row>
    <row r="187" ht="15.75" customHeight="1">
      <c r="A187" s="14"/>
      <c r="B187" s="14"/>
      <c r="C187" s="13"/>
    </row>
    <row r="188" ht="15.75" customHeight="1">
      <c r="A188" s="14"/>
      <c r="B188" s="14"/>
      <c r="C188" s="13"/>
    </row>
    <row r="189" ht="15.75" customHeight="1">
      <c r="A189" s="14"/>
      <c r="B189" s="14"/>
      <c r="C189" s="13"/>
    </row>
    <row r="190" ht="15.75" customHeight="1">
      <c r="A190" s="14"/>
      <c r="B190" s="14"/>
      <c r="C190" s="13"/>
    </row>
    <row r="191" ht="15.75" customHeight="1">
      <c r="A191" s="14"/>
      <c r="B191" s="14"/>
      <c r="C191" s="13"/>
    </row>
    <row r="192" ht="15.75" customHeight="1">
      <c r="A192" s="14"/>
      <c r="B192" s="14"/>
      <c r="C192" s="13"/>
    </row>
    <row r="193" ht="15.75" customHeight="1">
      <c r="A193" s="14"/>
      <c r="B193" s="14"/>
      <c r="C193" s="13"/>
    </row>
    <row r="194" ht="15.75" customHeight="1">
      <c r="A194" s="14"/>
      <c r="B194" s="14"/>
      <c r="C194" s="13"/>
    </row>
    <row r="195" ht="15.75" customHeight="1">
      <c r="A195" s="14"/>
      <c r="B195" s="14"/>
      <c r="C195" s="13"/>
    </row>
    <row r="196" ht="15.75" customHeight="1">
      <c r="A196" s="14"/>
      <c r="B196" s="14"/>
      <c r="C196" s="13"/>
    </row>
    <row r="197" ht="15.75" customHeight="1">
      <c r="A197" s="14"/>
      <c r="B197" s="14"/>
      <c r="C197" s="13"/>
    </row>
    <row r="198" ht="15.75" customHeight="1">
      <c r="A198" s="14"/>
      <c r="B198" s="14"/>
      <c r="C198" s="13"/>
    </row>
    <row r="199" ht="15.75" customHeight="1">
      <c r="A199" s="14"/>
      <c r="B199" s="14"/>
      <c r="C199" s="13"/>
    </row>
    <row r="200" ht="15.75" customHeight="1">
      <c r="A200" s="14"/>
      <c r="B200" s="14"/>
      <c r="C200" s="13"/>
    </row>
    <row r="201" ht="15.75" customHeight="1">
      <c r="A201" s="14"/>
      <c r="B201" s="14"/>
      <c r="C201" s="13"/>
    </row>
    <row r="202" ht="15.75" customHeight="1">
      <c r="A202" s="14"/>
      <c r="B202" s="14"/>
      <c r="C202" s="13"/>
    </row>
    <row r="203" ht="15.75" customHeight="1">
      <c r="A203" s="14"/>
      <c r="B203" s="14"/>
      <c r="C203" s="13"/>
    </row>
    <row r="204" ht="15.75" customHeight="1">
      <c r="A204" s="14"/>
      <c r="B204" s="14"/>
      <c r="C204" s="13"/>
    </row>
    <row r="205" ht="15.75" customHeight="1">
      <c r="A205" s="14"/>
      <c r="B205" s="14"/>
      <c r="C205" s="13"/>
    </row>
    <row r="206" ht="15.75" customHeight="1">
      <c r="A206" s="14"/>
      <c r="B206" s="14"/>
      <c r="C206" s="13"/>
    </row>
    <row r="207" ht="15.75" customHeight="1">
      <c r="A207" s="14"/>
      <c r="B207" s="14"/>
      <c r="C207" s="13"/>
    </row>
    <row r="208" ht="15.75" customHeight="1">
      <c r="A208" s="14"/>
      <c r="B208" s="14"/>
      <c r="C208" s="13"/>
    </row>
    <row r="209" ht="15.75" customHeight="1">
      <c r="A209" s="14"/>
      <c r="B209" s="14"/>
      <c r="C209" s="13"/>
    </row>
    <row r="210" ht="15.75" customHeight="1">
      <c r="A210" s="14"/>
      <c r="B210" s="14"/>
      <c r="C210" s="13"/>
    </row>
    <row r="211" ht="15.75" customHeight="1">
      <c r="A211" s="14"/>
      <c r="B211" s="14"/>
      <c r="C211" s="13"/>
    </row>
    <row r="212" ht="15.75" customHeight="1">
      <c r="A212" s="14"/>
      <c r="B212" s="14"/>
      <c r="C212" s="13"/>
    </row>
    <row r="213" ht="15.75" customHeight="1">
      <c r="A213" s="14"/>
      <c r="B213" s="14"/>
      <c r="C213" s="13"/>
    </row>
    <row r="214" ht="15.75" customHeight="1">
      <c r="A214" s="14"/>
      <c r="B214" s="14"/>
      <c r="C214" s="13"/>
    </row>
    <row r="215" ht="15.75" customHeight="1">
      <c r="A215" s="14"/>
      <c r="B215" s="14"/>
      <c r="C215" s="13"/>
    </row>
    <row r="216" ht="15.75" customHeight="1">
      <c r="A216" s="14"/>
      <c r="B216" s="14"/>
      <c r="C216" s="13"/>
    </row>
    <row r="217" ht="15.75" customHeight="1">
      <c r="A217" s="14"/>
      <c r="B217" s="14"/>
      <c r="C217" s="13"/>
    </row>
    <row r="218" ht="15.75" customHeight="1">
      <c r="A218" s="14"/>
      <c r="B218" s="14"/>
      <c r="C218" s="13"/>
    </row>
    <row r="219" ht="15.75" customHeight="1">
      <c r="A219" s="14"/>
      <c r="B219" s="14"/>
      <c r="C219" s="13"/>
    </row>
    <row r="220" ht="15.75" customHeight="1">
      <c r="A220" s="14"/>
      <c r="B220" s="14"/>
      <c r="C220" s="13"/>
    </row>
    <row r="221" ht="15.75" customHeight="1">
      <c r="A221" s="14"/>
      <c r="B221" s="14"/>
      <c r="C221" s="13"/>
    </row>
    <row r="222" ht="15.75" customHeight="1">
      <c r="A222" s="14"/>
      <c r="B222" s="14"/>
      <c r="C222" s="13"/>
    </row>
    <row r="223" ht="15.75" customHeight="1">
      <c r="A223" s="14"/>
      <c r="B223" s="14"/>
      <c r="C223" s="13"/>
    </row>
    <row r="224" ht="15.75" customHeight="1">
      <c r="A224" s="14"/>
      <c r="B224" s="14"/>
      <c r="C224" s="13"/>
    </row>
    <row r="225" ht="15.75" customHeight="1">
      <c r="A225" s="14"/>
      <c r="B225" s="14"/>
      <c r="C225" s="13"/>
    </row>
    <row r="226" ht="15.75" customHeight="1">
      <c r="A226" s="14"/>
      <c r="B226" s="14"/>
      <c r="C226" s="13"/>
    </row>
    <row r="227" ht="15.75" customHeight="1">
      <c r="A227" s="14"/>
      <c r="B227" s="14"/>
      <c r="C227" s="13"/>
    </row>
    <row r="228" ht="15.75" customHeight="1">
      <c r="A228" s="14"/>
      <c r="B228" s="14"/>
      <c r="C228" s="13"/>
    </row>
    <row r="229" ht="15.75" customHeight="1">
      <c r="A229" s="14"/>
      <c r="B229" s="14"/>
      <c r="C229" s="13"/>
    </row>
    <row r="230" ht="15.75" customHeight="1">
      <c r="A230" s="14"/>
      <c r="B230" s="14"/>
      <c r="C230" s="13"/>
    </row>
    <row r="231" ht="15.75" customHeight="1">
      <c r="A231" s="14"/>
      <c r="B231" s="14"/>
      <c r="C231" s="13"/>
    </row>
    <row r="232" ht="15.75" customHeight="1">
      <c r="A232" s="14"/>
      <c r="B232" s="14"/>
      <c r="C232" s="13"/>
    </row>
    <row r="233" ht="15.75" customHeight="1">
      <c r="A233" s="14"/>
      <c r="B233" s="14"/>
      <c r="C233" s="13"/>
    </row>
    <row r="234" ht="15.75" customHeight="1">
      <c r="A234" s="14"/>
      <c r="B234" s="14"/>
      <c r="C234" s="13"/>
    </row>
    <row r="235" ht="15.75" customHeight="1">
      <c r="A235" s="14"/>
      <c r="B235" s="14"/>
      <c r="C235" s="13"/>
    </row>
    <row r="236" ht="15.75" customHeight="1">
      <c r="A236" s="14"/>
      <c r="B236" s="14"/>
      <c r="C236" s="13"/>
    </row>
    <row r="237" ht="15.75" customHeight="1">
      <c r="A237" s="14"/>
      <c r="B237" s="14"/>
      <c r="C237" s="13"/>
    </row>
    <row r="238" ht="15.75" customHeight="1">
      <c r="A238" s="14"/>
      <c r="B238" s="14"/>
      <c r="C238" s="13"/>
    </row>
    <row r="239" ht="15.75" customHeight="1">
      <c r="A239" s="14"/>
      <c r="B239" s="14"/>
      <c r="C239" s="13"/>
    </row>
    <row r="240" ht="15.75" customHeight="1">
      <c r="A240" s="14"/>
      <c r="B240" s="14"/>
      <c r="C240" s="13"/>
    </row>
    <row r="241" ht="15.75" customHeight="1">
      <c r="A241" s="14"/>
      <c r="B241" s="14"/>
      <c r="C241" s="13"/>
    </row>
    <row r="242" ht="15.75" customHeight="1">
      <c r="A242" s="14"/>
      <c r="B242" s="14"/>
      <c r="C242" s="13"/>
    </row>
    <row r="243" ht="15.75" customHeight="1">
      <c r="A243" s="14"/>
      <c r="B243" s="14"/>
      <c r="C243" s="13"/>
    </row>
    <row r="244" ht="15.75" customHeight="1">
      <c r="A244" s="14"/>
      <c r="B244" s="14"/>
      <c r="C244" s="13"/>
    </row>
    <row r="245" ht="15.75" customHeight="1">
      <c r="A245" s="14"/>
      <c r="B245" s="14"/>
      <c r="C245" s="13"/>
    </row>
    <row r="246" ht="15.75" customHeight="1">
      <c r="A246" s="14"/>
      <c r="B246" s="14"/>
      <c r="C246" s="13"/>
    </row>
    <row r="247" ht="15.75" customHeight="1">
      <c r="A247" s="14"/>
      <c r="B247" s="14"/>
      <c r="C247" s="13"/>
    </row>
    <row r="248" ht="15.75" customHeight="1">
      <c r="A248" s="14"/>
      <c r="B248" s="14"/>
      <c r="C248" s="13"/>
    </row>
    <row r="249" ht="15.75" customHeight="1">
      <c r="A249" s="14"/>
      <c r="B249" s="14"/>
      <c r="C249" s="13"/>
    </row>
    <row r="250" ht="15.75" customHeight="1">
      <c r="A250" s="14"/>
      <c r="B250" s="14"/>
      <c r="C250" s="13"/>
    </row>
    <row r="251" ht="15.75" customHeight="1">
      <c r="A251" s="14"/>
      <c r="B251" s="14"/>
      <c r="C251" s="13"/>
    </row>
    <row r="252" ht="15.75" customHeight="1">
      <c r="A252" s="14"/>
      <c r="B252" s="14"/>
      <c r="C252" s="13"/>
    </row>
    <row r="253" ht="15.75" customHeight="1">
      <c r="A253" s="14"/>
      <c r="B253" s="14"/>
      <c r="C253" s="13"/>
    </row>
    <row r="254" ht="15.75" customHeight="1">
      <c r="A254" s="14"/>
      <c r="B254" s="14"/>
      <c r="C254" s="13"/>
    </row>
    <row r="255" ht="15.75" customHeight="1">
      <c r="A255" s="14"/>
      <c r="B255" s="14"/>
      <c r="C255" s="13"/>
    </row>
    <row r="256" ht="15.75" customHeight="1">
      <c r="A256" s="14"/>
      <c r="B256" s="14"/>
      <c r="C256" s="13"/>
    </row>
    <row r="257" ht="15.75" customHeight="1">
      <c r="A257" s="14"/>
      <c r="B257" s="14"/>
      <c r="C257" s="13"/>
    </row>
    <row r="258" ht="15.75" customHeight="1">
      <c r="A258" s="14"/>
      <c r="B258" s="14"/>
      <c r="C258" s="13"/>
    </row>
    <row r="259" ht="15.75" customHeight="1">
      <c r="A259" s="14"/>
      <c r="B259" s="14"/>
      <c r="C259" s="13"/>
    </row>
    <row r="260" ht="15.75" customHeight="1">
      <c r="A260" s="14"/>
      <c r="B260" s="14"/>
      <c r="C260" s="13"/>
    </row>
    <row r="261" ht="15.75" customHeight="1">
      <c r="A261" s="14"/>
      <c r="B261" s="14"/>
      <c r="C261" s="13"/>
    </row>
    <row r="262" ht="15.75" customHeight="1">
      <c r="A262" s="14"/>
      <c r="B262" s="14"/>
      <c r="C262" s="13"/>
    </row>
    <row r="263" ht="15.75" customHeight="1">
      <c r="A263" s="14"/>
      <c r="B263" s="14"/>
      <c r="C263" s="13"/>
    </row>
    <row r="264" ht="15.75" customHeight="1">
      <c r="A264" s="14"/>
      <c r="B264" s="14"/>
      <c r="C264" s="13"/>
    </row>
    <row r="265" ht="15.75" customHeight="1">
      <c r="A265" s="14"/>
      <c r="B265" s="14"/>
      <c r="C265" s="13"/>
    </row>
    <row r="266" ht="15.75" customHeight="1">
      <c r="A266" s="14"/>
      <c r="B266" s="14"/>
      <c r="C266" s="13"/>
    </row>
    <row r="267" ht="15.75" customHeight="1">
      <c r="A267" s="14"/>
      <c r="B267" s="14"/>
      <c r="C267" s="13"/>
    </row>
    <row r="268" ht="15.75" customHeight="1">
      <c r="A268" s="14"/>
      <c r="B268" s="14"/>
      <c r="C268" s="13"/>
    </row>
    <row r="269" ht="15.75" customHeight="1">
      <c r="A269" s="14"/>
      <c r="B269" s="14"/>
      <c r="C269" s="13"/>
    </row>
    <row r="270" ht="15.75" customHeight="1">
      <c r="A270" s="14"/>
      <c r="B270" s="14"/>
      <c r="C270" s="13"/>
    </row>
    <row r="271" ht="15.75" customHeight="1">
      <c r="A271" s="14"/>
      <c r="B271" s="14"/>
      <c r="C271" s="13"/>
    </row>
    <row r="272" ht="15.75" customHeight="1">
      <c r="A272" s="14"/>
      <c r="B272" s="14"/>
      <c r="C272" s="13"/>
    </row>
    <row r="273" ht="15.75" customHeight="1">
      <c r="A273" s="14"/>
      <c r="B273" s="14"/>
      <c r="C273" s="13"/>
    </row>
    <row r="274" ht="15.75" customHeight="1">
      <c r="A274" s="14"/>
      <c r="B274" s="14"/>
      <c r="C274" s="13"/>
    </row>
    <row r="275" ht="15.75" customHeight="1">
      <c r="A275" s="14"/>
      <c r="B275" s="14"/>
      <c r="C275" s="13"/>
    </row>
    <row r="276" ht="15.75" customHeight="1">
      <c r="A276" s="14"/>
      <c r="B276" s="14"/>
      <c r="C276" s="13"/>
    </row>
    <row r="277" ht="15.75" customHeight="1">
      <c r="A277" s="14"/>
      <c r="B277" s="14"/>
      <c r="C277" s="13"/>
    </row>
    <row r="278" ht="15.75" customHeight="1">
      <c r="A278" s="14"/>
      <c r="B278" s="14"/>
      <c r="C278" s="13"/>
    </row>
    <row r="279" ht="15.75" customHeight="1">
      <c r="A279" s="14"/>
      <c r="B279" s="14"/>
      <c r="C279" s="13"/>
    </row>
    <row r="280" ht="15.75" customHeight="1">
      <c r="A280" s="14"/>
      <c r="B280" s="14"/>
      <c r="C280" s="13"/>
    </row>
    <row r="281" ht="15.75" customHeight="1">
      <c r="A281" s="14"/>
      <c r="B281" s="14"/>
      <c r="C281" s="13"/>
    </row>
    <row r="282" ht="15.75" customHeight="1">
      <c r="A282" s="14"/>
      <c r="B282" s="14"/>
      <c r="C282" s="13"/>
    </row>
    <row r="283" ht="15.75" customHeight="1">
      <c r="A283" s="14"/>
      <c r="B283" s="14"/>
      <c r="C283" s="13"/>
    </row>
    <row r="284" ht="15.75" customHeight="1">
      <c r="A284" s="14"/>
      <c r="B284" s="14"/>
      <c r="C284" s="13"/>
    </row>
    <row r="285" ht="15.75" customHeight="1">
      <c r="A285" s="14"/>
      <c r="B285" s="14"/>
      <c r="C285" s="13"/>
    </row>
    <row r="286" ht="15.75" customHeight="1">
      <c r="A286" s="14"/>
      <c r="B286" s="14"/>
      <c r="C286" s="13"/>
    </row>
    <row r="287" ht="15.75" customHeight="1">
      <c r="A287" s="14"/>
      <c r="B287" s="14"/>
      <c r="C287" s="13"/>
    </row>
    <row r="288" ht="15.75" customHeight="1">
      <c r="A288" s="14"/>
      <c r="B288" s="14"/>
      <c r="C288" s="13"/>
    </row>
    <row r="289" ht="15.75" customHeight="1">
      <c r="A289" s="14"/>
      <c r="B289" s="14"/>
      <c r="C289" s="13"/>
    </row>
    <row r="290" ht="15.75" customHeight="1">
      <c r="A290" s="14"/>
      <c r="B290" s="14"/>
      <c r="C290" s="13"/>
    </row>
    <row r="291" ht="15.75" customHeight="1">
      <c r="A291" s="14"/>
      <c r="B291" s="14"/>
      <c r="C291" s="13"/>
    </row>
    <row r="292" ht="15.75" customHeight="1">
      <c r="A292" s="14"/>
      <c r="B292" s="14"/>
      <c r="C292" s="13"/>
    </row>
    <row r="293" ht="15.75" customHeight="1">
      <c r="A293" s="14"/>
      <c r="B293" s="14"/>
      <c r="C293" s="13"/>
    </row>
    <row r="294" ht="15.75" customHeight="1">
      <c r="A294" s="14"/>
      <c r="B294" s="14"/>
      <c r="C294" s="13"/>
    </row>
    <row r="295" ht="15.75" customHeight="1">
      <c r="A295" s="14"/>
      <c r="B295" s="14"/>
      <c r="C295" s="13"/>
    </row>
    <row r="296" ht="15.75" customHeight="1">
      <c r="A296" s="14"/>
      <c r="B296" s="14"/>
      <c r="C296" s="13"/>
    </row>
    <row r="297" ht="15.75" customHeight="1">
      <c r="A297" s="14"/>
      <c r="B297" s="14"/>
      <c r="C297" s="13"/>
    </row>
    <row r="298" ht="15.75" customHeight="1">
      <c r="A298" s="14"/>
      <c r="B298" s="14"/>
      <c r="C298" s="13"/>
    </row>
    <row r="299" ht="15.75" customHeight="1">
      <c r="A299" s="14"/>
      <c r="B299" s="14"/>
      <c r="C299" s="13"/>
    </row>
    <row r="300" ht="15.75" customHeight="1">
      <c r="A300" s="14"/>
      <c r="B300" s="14"/>
      <c r="C300" s="13"/>
    </row>
    <row r="301" ht="15.75" customHeight="1">
      <c r="A301" s="14"/>
      <c r="B301" s="14"/>
      <c r="C301" s="13"/>
    </row>
    <row r="302" ht="15.75" customHeight="1">
      <c r="A302" s="14"/>
      <c r="B302" s="14"/>
      <c r="C302" s="13"/>
    </row>
    <row r="303" ht="15.75" customHeight="1">
      <c r="A303" s="14"/>
      <c r="B303" s="14"/>
      <c r="C303" s="13"/>
    </row>
    <row r="304" ht="15.75" customHeight="1">
      <c r="A304" s="14"/>
      <c r="B304" s="14"/>
      <c r="C304" s="13"/>
    </row>
    <row r="305" ht="15.75" customHeight="1">
      <c r="A305" s="14"/>
      <c r="B305" s="14"/>
      <c r="C305" s="13"/>
    </row>
    <row r="306" ht="15.75" customHeight="1">
      <c r="A306" s="14"/>
      <c r="B306" s="14"/>
      <c r="C306" s="13"/>
    </row>
    <row r="307" ht="15.75" customHeight="1">
      <c r="A307" s="14"/>
      <c r="B307" s="14"/>
      <c r="C307" s="13"/>
    </row>
    <row r="308" ht="15.75" customHeight="1">
      <c r="A308" s="14"/>
      <c r="B308" s="14"/>
      <c r="C308" s="13"/>
    </row>
    <row r="309" ht="15.75" customHeight="1">
      <c r="A309" s="14"/>
      <c r="B309" s="14"/>
      <c r="C309" s="13"/>
    </row>
    <row r="310" ht="15.75" customHeight="1">
      <c r="A310" s="14"/>
      <c r="B310" s="14"/>
      <c r="C310" s="13"/>
    </row>
    <row r="311" ht="15.75" customHeight="1">
      <c r="A311" s="14"/>
      <c r="B311" s="14"/>
      <c r="C311" s="13"/>
    </row>
    <row r="312" ht="15.75" customHeight="1">
      <c r="A312" s="14"/>
      <c r="B312" s="14"/>
      <c r="C312" s="13"/>
    </row>
    <row r="313" ht="15.75" customHeight="1">
      <c r="A313" s="14"/>
      <c r="B313" s="14"/>
      <c r="C313" s="13"/>
    </row>
    <row r="314" ht="15.75" customHeight="1">
      <c r="A314" s="14"/>
      <c r="B314" s="14"/>
      <c r="C314" s="13"/>
    </row>
    <row r="315" ht="15.75" customHeight="1">
      <c r="A315" s="14"/>
      <c r="B315" s="14"/>
      <c r="C315" s="13"/>
    </row>
    <row r="316" ht="15.75" customHeight="1">
      <c r="A316" s="14"/>
      <c r="B316" s="14"/>
      <c r="C316" s="13"/>
    </row>
    <row r="317" ht="15.75" customHeight="1">
      <c r="A317" s="14"/>
      <c r="B317" s="14"/>
      <c r="C317" s="13"/>
    </row>
    <row r="318" ht="15.75" customHeight="1">
      <c r="A318" s="14"/>
      <c r="B318" s="14"/>
      <c r="C318" s="13"/>
    </row>
    <row r="319" ht="15.75" customHeight="1">
      <c r="A319" s="14"/>
      <c r="B319" s="14"/>
      <c r="C319" s="13"/>
    </row>
    <row r="320" ht="15.75" customHeight="1">
      <c r="A320" s="14"/>
      <c r="B320" s="14"/>
      <c r="C320" s="13"/>
    </row>
    <row r="321" ht="15.75" customHeight="1">
      <c r="A321" s="14"/>
      <c r="B321" s="14"/>
      <c r="C321" s="13"/>
    </row>
    <row r="322" ht="15.75" customHeight="1">
      <c r="A322" s="14"/>
      <c r="B322" s="14"/>
      <c r="C322" s="13"/>
    </row>
    <row r="323" ht="15.75" customHeight="1">
      <c r="A323" s="14"/>
      <c r="B323" s="14"/>
      <c r="C323" s="13"/>
    </row>
    <row r="324" ht="15.75" customHeight="1">
      <c r="A324" s="14"/>
      <c r="B324" s="14"/>
      <c r="C324" s="13"/>
    </row>
    <row r="325" ht="15.75" customHeight="1">
      <c r="A325" s="14"/>
      <c r="B325" s="14"/>
      <c r="C325" s="13"/>
    </row>
    <row r="326" ht="15.75" customHeight="1">
      <c r="A326" s="14"/>
      <c r="B326" s="14"/>
      <c r="C326" s="13"/>
    </row>
    <row r="327" ht="15.75" customHeight="1">
      <c r="A327" s="14"/>
      <c r="B327" s="14"/>
      <c r="C327" s="13"/>
    </row>
    <row r="328" ht="15.75" customHeight="1">
      <c r="A328" s="14"/>
      <c r="B328" s="14"/>
      <c r="C328" s="13"/>
    </row>
    <row r="329" ht="15.75" customHeight="1">
      <c r="A329" s="14"/>
      <c r="B329" s="14"/>
      <c r="C329" s="13"/>
    </row>
    <row r="330" ht="15.75" customHeight="1">
      <c r="A330" s="14"/>
      <c r="B330" s="14"/>
      <c r="C330" s="13"/>
    </row>
    <row r="331" ht="15.75" customHeight="1">
      <c r="A331" s="14"/>
      <c r="B331" s="14"/>
      <c r="C331" s="13"/>
    </row>
    <row r="332" ht="15.75" customHeight="1">
      <c r="A332" s="14"/>
      <c r="B332" s="14"/>
      <c r="C332" s="13"/>
    </row>
    <row r="333" ht="15.75" customHeight="1">
      <c r="A333" s="14"/>
      <c r="B333" s="14"/>
      <c r="C333" s="13"/>
    </row>
    <row r="334" ht="15.75" customHeight="1">
      <c r="A334" s="14"/>
      <c r="B334" s="14"/>
      <c r="C334" s="13"/>
    </row>
    <row r="335" ht="15.75" customHeight="1">
      <c r="A335" s="14"/>
      <c r="B335" s="14"/>
      <c r="C335" s="13"/>
    </row>
    <row r="336" ht="15.75" customHeight="1">
      <c r="A336" s="14"/>
      <c r="B336" s="14"/>
      <c r="C336" s="13"/>
    </row>
    <row r="337" ht="15.75" customHeight="1">
      <c r="A337" s="14"/>
      <c r="B337" s="14"/>
      <c r="C337" s="13"/>
    </row>
    <row r="338" ht="15.75" customHeight="1">
      <c r="A338" s="14"/>
      <c r="B338" s="14"/>
      <c r="C338" s="13"/>
    </row>
    <row r="339" ht="15.75" customHeight="1">
      <c r="A339" s="14"/>
      <c r="B339" s="14"/>
      <c r="C339" s="13"/>
    </row>
    <row r="340" ht="15.75" customHeight="1">
      <c r="A340" s="14"/>
      <c r="B340" s="14"/>
      <c r="C340" s="13"/>
    </row>
    <row r="341" ht="15.75" customHeight="1">
      <c r="A341" s="14"/>
      <c r="B341" s="14"/>
      <c r="C341" s="13"/>
    </row>
    <row r="342" ht="15.75" customHeight="1">
      <c r="A342" s="14"/>
      <c r="B342" s="14"/>
      <c r="C342" s="13"/>
    </row>
    <row r="343" ht="15.75" customHeight="1">
      <c r="A343" s="14"/>
      <c r="B343" s="14"/>
      <c r="C343" s="13"/>
    </row>
    <row r="344" ht="15.75" customHeight="1">
      <c r="A344" s="14"/>
      <c r="B344" s="14"/>
      <c r="C344" s="13"/>
    </row>
    <row r="345" ht="15.75" customHeight="1">
      <c r="A345" s="14"/>
      <c r="B345" s="14"/>
      <c r="C345" s="13"/>
    </row>
    <row r="346" ht="15.75" customHeight="1">
      <c r="A346" s="14"/>
      <c r="B346" s="14"/>
      <c r="C346" s="13"/>
    </row>
    <row r="347" ht="15.75" customHeight="1">
      <c r="A347" s="14"/>
      <c r="B347" s="14"/>
      <c r="C347" s="13"/>
    </row>
    <row r="348" ht="15.75" customHeight="1">
      <c r="A348" s="14"/>
      <c r="B348" s="14"/>
      <c r="C348" s="13"/>
    </row>
    <row r="349" ht="15.75" customHeight="1">
      <c r="A349" s="14"/>
      <c r="B349" s="14"/>
      <c r="C349" s="13"/>
    </row>
    <row r="350" ht="15.75" customHeight="1">
      <c r="A350" s="14"/>
      <c r="B350" s="14"/>
      <c r="C350" s="13"/>
    </row>
    <row r="351" ht="15.75" customHeight="1">
      <c r="A351" s="14"/>
      <c r="B351" s="14"/>
      <c r="C351" s="13"/>
    </row>
    <row r="352" ht="15.75" customHeight="1">
      <c r="A352" s="14"/>
      <c r="B352" s="14"/>
      <c r="C352" s="13"/>
    </row>
    <row r="353" ht="15.75" customHeight="1">
      <c r="A353" s="14"/>
      <c r="B353" s="14"/>
      <c r="C353" s="13"/>
    </row>
    <row r="354" ht="15.75" customHeight="1">
      <c r="A354" s="14"/>
      <c r="B354" s="14"/>
      <c r="C354" s="13"/>
    </row>
    <row r="355" ht="15.75" customHeight="1">
      <c r="A355" s="14"/>
      <c r="B355" s="14"/>
      <c r="C355" s="13"/>
    </row>
    <row r="356" ht="15.75" customHeight="1">
      <c r="A356" s="14"/>
      <c r="B356" s="14"/>
      <c r="C356" s="13"/>
    </row>
    <row r="357" ht="15.75" customHeight="1">
      <c r="A357" s="14"/>
      <c r="B357" s="14"/>
      <c r="C357" s="13"/>
    </row>
    <row r="358" ht="15.75" customHeight="1">
      <c r="A358" s="14"/>
      <c r="B358" s="14"/>
      <c r="C358" s="13"/>
    </row>
    <row r="359" ht="15.75" customHeight="1">
      <c r="A359" s="14"/>
      <c r="B359" s="14"/>
      <c r="C359" s="13"/>
    </row>
    <row r="360" ht="15.75" customHeight="1">
      <c r="A360" s="14"/>
      <c r="B360" s="14"/>
      <c r="C360" s="13"/>
    </row>
    <row r="361" ht="15.75" customHeight="1">
      <c r="A361" s="14"/>
      <c r="B361" s="14"/>
      <c r="C361" s="13"/>
    </row>
    <row r="362" ht="15.75" customHeight="1">
      <c r="A362" s="14"/>
      <c r="B362" s="14"/>
      <c r="C362" s="13"/>
    </row>
    <row r="363" ht="15.75" customHeight="1">
      <c r="A363" s="14"/>
      <c r="B363" s="14"/>
      <c r="C363" s="13"/>
    </row>
    <row r="364" ht="15.75" customHeight="1">
      <c r="A364" s="14"/>
      <c r="B364" s="14"/>
      <c r="C364" s="13"/>
    </row>
    <row r="365" ht="15.75" customHeight="1">
      <c r="A365" s="14"/>
      <c r="B365" s="14"/>
      <c r="C365" s="13"/>
    </row>
    <row r="366" ht="15.75" customHeight="1">
      <c r="A366" s="14"/>
      <c r="B366" s="14"/>
      <c r="C366" s="13"/>
    </row>
    <row r="367" ht="15.75" customHeight="1">
      <c r="A367" s="14"/>
      <c r="B367" s="14"/>
      <c r="C367" s="13"/>
    </row>
    <row r="368" ht="15.75" customHeight="1">
      <c r="A368" s="14"/>
      <c r="B368" s="14"/>
      <c r="C368" s="13"/>
    </row>
    <row r="369" ht="15.75" customHeight="1">
      <c r="A369" s="14"/>
      <c r="B369" s="14"/>
      <c r="C369" s="13"/>
    </row>
    <row r="370" ht="15.75" customHeight="1">
      <c r="A370" s="14"/>
      <c r="B370" s="14"/>
      <c r="C370" s="13"/>
    </row>
    <row r="371" ht="15.75" customHeight="1">
      <c r="A371" s="14"/>
      <c r="B371" s="14"/>
      <c r="C371" s="13"/>
    </row>
    <row r="372" ht="15.75" customHeight="1">
      <c r="A372" s="14"/>
      <c r="B372" s="14"/>
      <c r="C372" s="13"/>
    </row>
    <row r="373" ht="15.75" customHeight="1">
      <c r="A373" s="14"/>
      <c r="B373" s="14"/>
      <c r="C373" s="13"/>
    </row>
    <row r="374" ht="15.75" customHeight="1">
      <c r="A374" s="14"/>
      <c r="B374" s="14"/>
      <c r="C374" s="13"/>
    </row>
    <row r="375" ht="15.75" customHeight="1">
      <c r="A375" s="14"/>
      <c r="B375" s="14"/>
      <c r="C375" s="13"/>
    </row>
    <row r="376" ht="15.75" customHeight="1">
      <c r="A376" s="14"/>
      <c r="B376" s="14"/>
      <c r="C376" s="13"/>
    </row>
    <row r="377" ht="15.75" customHeight="1">
      <c r="A377" s="14"/>
      <c r="B377" s="14"/>
      <c r="C377" s="13"/>
    </row>
    <row r="378" ht="15.75" customHeight="1">
      <c r="A378" s="14"/>
      <c r="B378" s="14"/>
      <c r="C378" s="13"/>
    </row>
    <row r="379" ht="15.75" customHeight="1">
      <c r="A379" s="14"/>
      <c r="B379" s="14"/>
      <c r="C379" s="13"/>
    </row>
    <row r="380" ht="15.75" customHeight="1">
      <c r="A380" s="14"/>
      <c r="B380" s="14"/>
      <c r="C380" s="13"/>
    </row>
    <row r="381" ht="15.75" customHeight="1">
      <c r="A381" s="14"/>
      <c r="B381" s="14"/>
      <c r="C381" s="13"/>
    </row>
    <row r="382" ht="15.75" customHeight="1">
      <c r="A382" s="14"/>
      <c r="B382" s="14"/>
      <c r="C382" s="13"/>
    </row>
    <row r="383" ht="15.75" customHeight="1">
      <c r="A383" s="14"/>
      <c r="B383" s="14"/>
      <c r="C383" s="13"/>
    </row>
    <row r="384" ht="15.75" customHeight="1">
      <c r="A384" s="14"/>
      <c r="B384" s="14"/>
      <c r="C384" s="13"/>
    </row>
    <row r="385" ht="15.75" customHeight="1">
      <c r="A385" s="14"/>
      <c r="B385" s="14"/>
      <c r="C385" s="13"/>
    </row>
    <row r="386" ht="15.75" customHeight="1">
      <c r="A386" s="14"/>
      <c r="B386" s="14"/>
      <c r="C386" s="13"/>
    </row>
    <row r="387" ht="15.75" customHeight="1">
      <c r="A387" s="14"/>
      <c r="B387" s="14"/>
      <c r="C387" s="13"/>
    </row>
    <row r="388" ht="15.75" customHeight="1">
      <c r="A388" s="14"/>
      <c r="B388" s="14"/>
      <c r="C388" s="13"/>
    </row>
    <row r="389" ht="15.75" customHeight="1">
      <c r="A389" s="14"/>
      <c r="B389" s="14"/>
      <c r="C389" s="13"/>
    </row>
    <row r="390" ht="15.75" customHeight="1">
      <c r="A390" s="14"/>
      <c r="B390" s="14"/>
      <c r="C390" s="13"/>
    </row>
    <row r="391" ht="15.75" customHeight="1">
      <c r="A391" s="14"/>
      <c r="B391" s="14"/>
      <c r="C391" s="13"/>
    </row>
    <row r="392" ht="15.75" customHeight="1">
      <c r="A392" s="14"/>
      <c r="B392" s="14"/>
      <c r="C392" s="13"/>
    </row>
    <row r="393" ht="15.75" customHeight="1">
      <c r="A393" s="14"/>
      <c r="B393" s="14"/>
      <c r="C393" s="13"/>
    </row>
    <row r="394" ht="15.75" customHeight="1">
      <c r="A394" s="14"/>
      <c r="B394" s="14"/>
      <c r="C394" s="13"/>
    </row>
    <row r="395" ht="15.75" customHeight="1">
      <c r="A395" s="14"/>
      <c r="B395" s="14"/>
      <c r="C395" s="13"/>
    </row>
    <row r="396" ht="15.75" customHeight="1">
      <c r="A396" s="14"/>
      <c r="B396" s="14"/>
      <c r="C396" s="13"/>
    </row>
    <row r="397" ht="15.75" customHeight="1">
      <c r="A397" s="14"/>
      <c r="B397" s="14"/>
      <c r="C397" s="13"/>
    </row>
    <row r="398" ht="15.75" customHeight="1">
      <c r="A398" s="14"/>
      <c r="B398" s="14"/>
      <c r="C398" s="13"/>
    </row>
    <row r="399" ht="15.75" customHeight="1">
      <c r="A399" s="14"/>
      <c r="B399" s="14"/>
      <c r="C399" s="13"/>
    </row>
    <row r="400" ht="15.75" customHeight="1">
      <c r="A400" s="14"/>
      <c r="B400" s="14"/>
      <c r="C400" s="13"/>
    </row>
    <row r="401" ht="15.75" customHeight="1">
      <c r="A401" s="14"/>
      <c r="B401" s="14"/>
      <c r="C401" s="13"/>
    </row>
    <row r="402" ht="15.75" customHeight="1">
      <c r="A402" s="14"/>
      <c r="B402" s="14"/>
      <c r="C402" s="13"/>
    </row>
    <row r="403" ht="15.75" customHeight="1">
      <c r="A403" s="14"/>
      <c r="B403" s="14"/>
      <c r="C403" s="13"/>
    </row>
    <row r="404" ht="15.75" customHeight="1">
      <c r="A404" s="14"/>
      <c r="B404" s="14"/>
      <c r="C404" s="13"/>
    </row>
    <row r="405" ht="15.75" customHeight="1">
      <c r="A405" s="14"/>
      <c r="B405" s="14"/>
      <c r="C405" s="13"/>
    </row>
    <row r="406" ht="15.75" customHeight="1">
      <c r="A406" s="14"/>
      <c r="B406" s="14"/>
      <c r="C406" s="13"/>
    </row>
    <row r="407" ht="15.75" customHeight="1">
      <c r="A407" s="14"/>
      <c r="B407" s="14"/>
      <c r="C407" s="13"/>
    </row>
    <row r="408" ht="15.75" customHeight="1">
      <c r="A408" s="14"/>
      <c r="B408" s="14"/>
      <c r="C408" s="13"/>
    </row>
    <row r="409" ht="15.75" customHeight="1">
      <c r="A409" s="14"/>
      <c r="B409" s="14"/>
      <c r="C409" s="13"/>
    </row>
    <row r="410" ht="15.75" customHeight="1">
      <c r="A410" s="14"/>
      <c r="B410" s="14"/>
      <c r="C410" s="13"/>
    </row>
    <row r="411" ht="15.75" customHeight="1">
      <c r="A411" s="14"/>
      <c r="B411" s="14"/>
      <c r="C411" s="13"/>
    </row>
    <row r="412" ht="15.75" customHeight="1">
      <c r="A412" s="14"/>
      <c r="B412" s="14"/>
      <c r="C412" s="13"/>
    </row>
    <row r="413" ht="15.75" customHeight="1">
      <c r="A413" s="14"/>
      <c r="B413" s="14"/>
      <c r="C413" s="13"/>
    </row>
    <row r="414" ht="15.75" customHeight="1">
      <c r="A414" s="14"/>
      <c r="B414" s="14"/>
      <c r="C414" s="13"/>
    </row>
    <row r="415" ht="15.75" customHeight="1">
      <c r="A415" s="14"/>
      <c r="B415" s="14"/>
      <c r="C415" s="13"/>
    </row>
    <row r="416" ht="15.75" customHeight="1">
      <c r="A416" s="14"/>
      <c r="B416" s="14"/>
      <c r="C416" s="13"/>
    </row>
    <row r="417" ht="15.75" customHeight="1">
      <c r="A417" s="14"/>
      <c r="B417" s="14"/>
      <c r="C417" s="13"/>
    </row>
    <row r="418" ht="15.75" customHeight="1">
      <c r="A418" s="14"/>
      <c r="B418" s="14"/>
      <c r="C418" s="13"/>
    </row>
    <row r="419" ht="15.75" customHeight="1">
      <c r="A419" s="14"/>
      <c r="B419" s="14"/>
      <c r="C419" s="13"/>
    </row>
    <row r="420" ht="15.75" customHeight="1">
      <c r="A420" s="14"/>
      <c r="B420" s="14"/>
      <c r="C420" s="13"/>
    </row>
    <row r="421" ht="15.75" customHeight="1">
      <c r="A421" s="14"/>
      <c r="B421" s="14"/>
      <c r="C421" s="13"/>
    </row>
    <row r="422" ht="15.75" customHeight="1">
      <c r="A422" s="14"/>
      <c r="B422" s="14"/>
      <c r="C422" s="13"/>
    </row>
    <row r="423" ht="15.75" customHeight="1">
      <c r="A423" s="14"/>
      <c r="B423" s="14"/>
      <c r="C423" s="13"/>
    </row>
    <row r="424" ht="15.75" customHeight="1">
      <c r="A424" s="14"/>
      <c r="B424" s="14"/>
      <c r="C424" s="13"/>
    </row>
    <row r="425" ht="15.75" customHeight="1">
      <c r="A425" s="14"/>
      <c r="B425" s="14"/>
      <c r="C425" s="13"/>
    </row>
    <row r="426" ht="15.75" customHeight="1">
      <c r="A426" s="14"/>
      <c r="B426" s="14"/>
      <c r="C426" s="13"/>
    </row>
    <row r="427" ht="15.75" customHeight="1">
      <c r="A427" s="14"/>
      <c r="B427" s="14"/>
      <c r="C427" s="13"/>
    </row>
    <row r="428" ht="15.75" customHeight="1">
      <c r="A428" s="14"/>
      <c r="B428" s="14"/>
      <c r="C428" s="13"/>
    </row>
    <row r="429" ht="15.75" customHeight="1">
      <c r="A429" s="14"/>
      <c r="B429" s="14"/>
      <c r="C429" s="13"/>
    </row>
    <row r="430" ht="15.75" customHeight="1">
      <c r="A430" s="14"/>
      <c r="B430" s="14"/>
      <c r="C430" s="13"/>
    </row>
    <row r="431" ht="15.75" customHeight="1">
      <c r="A431" s="14"/>
      <c r="B431" s="14"/>
      <c r="C431" s="13"/>
    </row>
    <row r="432" ht="15.75" customHeight="1">
      <c r="A432" s="14"/>
      <c r="B432" s="14"/>
      <c r="C432" s="13"/>
    </row>
    <row r="433" ht="15.75" customHeight="1">
      <c r="A433" s="14"/>
      <c r="B433" s="14"/>
      <c r="C433" s="13"/>
    </row>
    <row r="434" ht="15.75" customHeight="1">
      <c r="A434" s="14"/>
      <c r="B434" s="14"/>
      <c r="C434" s="13"/>
    </row>
    <row r="435" ht="15.75" customHeight="1">
      <c r="A435" s="14"/>
      <c r="B435" s="14"/>
      <c r="C435" s="13"/>
    </row>
    <row r="436" ht="15.75" customHeight="1">
      <c r="A436" s="14"/>
      <c r="B436" s="14"/>
      <c r="C436" s="13"/>
    </row>
    <row r="437" ht="15.75" customHeight="1">
      <c r="A437" s="14"/>
      <c r="B437" s="14"/>
      <c r="C437" s="13"/>
    </row>
    <row r="438" ht="15.75" customHeight="1">
      <c r="A438" s="14"/>
      <c r="B438" s="14"/>
      <c r="C438" s="13"/>
    </row>
    <row r="439" ht="15.75" customHeight="1">
      <c r="A439" s="14"/>
      <c r="B439" s="14"/>
      <c r="C439" s="13"/>
    </row>
    <row r="440" ht="15.75" customHeight="1">
      <c r="A440" s="14"/>
      <c r="B440" s="14"/>
      <c r="C440" s="13"/>
    </row>
    <row r="441" ht="15.75" customHeight="1">
      <c r="A441" s="14"/>
      <c r="B441" s="14"/>
      <c r="C441" s="13"/>
    </row>
    <row r="442" ht="15.75" customHeight="1">
      <c r="A442" s="14"/>
      <c r="B442" s="14"/>
      <c r="C442" s="13"/>
    </row>
    <row r="443" ht="15.75" customHeight="1">
      <c r="A443" s="14"/>
      <c r="B443" s="14"/>
      <c r="C443" s="13"/>
    </row>
    <row r="444" ht="15.75" customHeight="1">
      <c r="A444" s="14"/>
      <c r="B444" s="14"/>
      <c r="C444" s="13"/>
    </row>
    <row r="445" ht="15.75" customHeight="1">
      <c r="A445" s="14"/>
      <c r="B445" s="14"/>
      <c r="C445" s="13"/>
    </row>
    <row r="446" ht="15.75" customHeight="1">
      <c r="A446" s="14"/>
      <c r="B446" s="14"/>
      <c r="C446" s="13"/>
    </row>
    <row r="447" ht="15.75" customHeight="1">
      <c r="A447" s="14"/>
      <c r="B447" s="14"/>
      <c r="C447" s="13"/>
    </row>
    <row r="448" ht="15.75" customHeight="1">
      <c r="A448" s="14"/>
      <c r="B448" s="14"/>
      <c r="C448" s="13"/>
    </row>
    <row r="449" ht="15.75" customHeight="1">
      <c r="A449" s="14"/>
      <c r="B449" s="14"/>
      <c r="C449" s="13"/>
    </row>
    <row r="450" ht="15.75" customHeight="1">
      <c r="A450" s="14"/>
      <c r="B450" s="14"/>
      <c r="C450" s="13"/>
    </row>
    <row r="451" ht="15.75" customHeight="1">
      <c r="A451" s="14"/>
      <c r="B451" s="14"/>
      <c r="C451" s="13"/>
    </row>
    <row r="452" ht="15.75" customHeight="1">
      <c r="A452" s="14"/>
      <c r="B452" s="14"/>
      <c r="C452" s="13"/>
    </row>
    <row r="453" ht="15.75" customHeight="1">
      <c r="A453" s="14"/>
      <c r="B453" s="14"/>
      <c r="C453" s="13"/>
    </row>
    <row r="454" ht="15.75" customHeight="1">
      <c r="A454" s="14"/>
      <c r="B454" s="14"/>
      <c r="C454" s="13"/>
    </row>
    <row r="455" ht="15.75" customHeight="1">
      <c r="A455" s="14"/>
      <c r="B455" s="14"/>
      <c r="C455" s="13"/>
    </row>
    <row r="456" ht="15.75" customHeight="1">
      <c r="A456" s="14"/>
      <c r="B456" s="14"/>
      <c r="C456" s="13"/>
    </row>
    <row r="457" ht="15.75" customHeight="1">
      <c r="A457" s="14"/>
      <c r="B457" s="14"/>
      <c r="C457" s="13"/>
    </row>
    <row r="458" ht="15.75" customHeight="1">
      <c r="A458" s="14"/>
      <c r="B458" s="14"/>
      <c r="C458" s="13"/>
    </row>
    <row r="459" ht="15.75" customHeight="1">
      <c r="A459" s="14"/>
      <c r="B459" s="14"/>
      <c r="C459" s="13"/>
    </row>
    <row r="460" ht="15.75" customHeight="1">
      <c r="A460" s="14"/>
      <c r="B460" s="14"/>
      <c r="C460" s="13"/>
    </row>
    <row r="461" ht="15.75" customHeight="1">
      <c r="A461" s="14"/>
      <c r="B461" s="14"/>
      <c r="C461" s="13"/>
    </row>
    <row r="462" ht="15.75" customHeight="1">
      <c r="A462" s="14"/>
      <c r="B462" s="14"/>
      <c r="C462" s="13"/>
    </row>
    <row r="463" ht="15.75" customHeight="1">
      <c r="A463" s="14"/>
      <c r="B463" s="14"/>
      <c r="C463" s="13"/>
    </row>
    <row r="464" ht="15.75" customHeight="1">
      <c r="A464" s="14"/>
      <c r="B464" s="14"/>
      <c r="C464" s="13"/>
    </row>
    <row r="465" ht="15.75" customHeight="1">
      <c r="A465" s="14"/>
      <c r="B465" s="14"/>
      <c r="C465" s="13"/>
    </row>
    <row r="466" ht="15.75" customHeight="1">
      <c r="A466" s="14"/>
      <c r="B466" s="14"/>
      <c r="C466" s="13"/>
    </row>
    <row r="467" ht="15.75" customHeight="1">
      <c r="A467" s="14"/>
      <c r="B467" s="14"/>
      <c r="C467" s="13"/>
    </row>
    <row r="468" ht="15.75" customHeight="1">
      <c r="A468" s="14"/>
      <c r="B468" s="14"/>
      <c r="C468" s="13"/>
    </row>
    <row r="469" ht="15.75" customHeight="1">
      <c r="A469" s="14"/>
      <c r="B469" s="14"/>
      <c r="C469" s="13"/>
    </row>
    <row r="470" ht="15.75" customHeight="1">
      <c r="A470" s="14"/>
      <c r="B470" s="14"/>
      <c r="C470" s="13"/>
    </row>
    <row r="471" ht="15.75" customHeight="1">
      <c r="A471" s="14"/>
      <c r="B471" s="14"/>
      <c r="C471" s="13"/>
    </row>
    <row r="472" ht="15.75" customHeight="1">
      <c r="A472" s="14"/>
      <c r="B472" s="14"/>
      <c r="C472" s="13"/>
    </row>
    <row r="473" ht="15.75" customHeight="1">
      <c r="A473" s="14"/>
      <c r="B473" s="14"/>
      <c r="C473" s="13"/>
    </row>
    <row r="474" ht="15.75" customHeight="1">
      <c r="A474" s="14"/>
      <c r="B474" s="14"/>
      <c r="C474" s="13"/>
    </row>
    <row r="475" ht="15.75" customHeight="1">
      <c r="A475" s="14"/>
      <c r="B475" s="14"/>
      <c r="C475" s="13"/>
    </row>
    <row r="476" ht="15.75" customHeight="1">
      <c r="A476" s="14"/>
      <c r="B476" s="14"/>
      <c r="C476" s="13"/>
    </row>
    <row r="477" ht="15.75" customHeight="1">
      <c r="A477" s="14"/>
      <c r="B477" s="14"/>
      <c r="C477" s="13"/>
    </row>
    <row r="478" ht="15.75" customHeight="1">
      <c r="A478" s="14"/>
      <c r="B478" s="14"/>
      <c r="C478" s="13"/>
    </row>
    <row r="479" ht="15.75" customHeight="1">
      <c r="A479" s="14"/>
      <c r="B479" s="14"/>
      <c r="C479" s="13"/>
    </row>
    <row r="480" ht="15.75" customHeight="1">
      <c r="A480" s="14"/>
      <c r="B480" s="14"/>
      <c r="C480" s="13"/>
    </row>
    <row r="481" ht="15.75" customHeight="1">
      <c r="A481" s="14"/>
      <c r="B481" s="14"/>
      <c r="C481" s="13"/>
    </row>
    <row r="482" ht="15.75" customHeight="1">
      <c r="A482" s="14"/>
      <c r="B482" s="14"/>
      <c r="C482" s="13"/>
    </row>
    <row r="483" ht="15.75" customHeight="1">
      <c r="A483" s="14"/>
      <c r="B483" s="14"/>
      <c r="C483" s="13"/>
    </row>
    <row r="484" ht="15.75" customHeight="1">
      <c r="A484" s="14"/>
      <c r="B484" s="14"/>
      <c r="C484" s="13"/>
    </row>
    <row r="485" ht="15.75" customHeight="1">
      <c r="A485" s="14"/>
      <c r="B485" s="14"/>
      <c r="C485" s="13"/>
    </row>
    <row r="486" ht="15.75" customHeight="1">
      <c r="A486" s="14"/>
      <c r="B486" s="14"/>
      <c r="C486" s="13"/>
    </row>
    <row r="487" ht="15.75" customHeight="1">
      <c r="A487" s="14"/>
      <c r="B487" s="14"/>
      <c r="C487" s="13"/>
    </row>
    <row r="488" ht="15.75" customHeight="1">
      <c r="A488" s="14"/>
      <c r="B488" s="14"/>
      <c r="C488" s="13"/>
    </row>
    <row r="489" ht="15.75" customHeight="1">
      <c r="A489" s="14"/>
      <c r="B489" s="14"/>
      <c r="C489" s="13"/>
    </row>
    <row r="490" ht="15.75" customHeight="1">
      <c r="A490" s="14"/>
      <c r="B490" s="14"/>
      <c r="C490" s="13"/>
    </row>
    <row r="491" ht="15.75" customHeight="1">
      <c r="A491" s="14"/>
      <c r="B491" s="14"/>
      <c r="C491" s="13"/>
    </row>
    <row r="492" ht="15.75" customHeight="1">
      <c r="A492" s="14"/>
      <c r="B492" s="14"/>
      <c r="C492" s="13"/>
    </row>
    <row r="493" ht="15.75" customHeight="1">
      <c r="A493" s="14"/>
      <c r="B493" s="14"/>
      <c r="C493" s="13"/>
    </row>
    <row r="494" ht="15.75" customHeight="1">
      <c r="A494" s="14"/>
      <c r="B494" s="14"/>
      <c r="C494" s="13"/>
    </row>
    <row r="495" ht="15.75" customHeight="1">
      <c r="A495" s="14"/>
      <c r="B495" s="14"/>
      <c r="C495" s="13"/>
    </row>
    <row r="496" ht="15.75" customHeight="1">
      <c r="A496" s="14"/>
      <c r="B496" s="14"/>
      <c r="C496" s="13"/>
    </row>
    <row r="497" ht="15.75" customHeight="1">
      <c r="A497" s="14"/>
      <c r="B497" s="14"/>
      <c r="C497" s="13"/>
    </row>
    <row r="498" ht="15.75" customHeight="1">
      <c r="A498" s="14"/>
      <c r="B498" s="14"/>
      <c r="C498" s="13"/>
    </row>
    <row r="499" ht="15.75" customHeight="1">
      <c r="A499" s="14"/>
      <c r="B499" s="14"/>
      <c r="C499" s="13"/>
    </row>
    <row r="500" ht="15.75" customHeight="1">
      <c r="A500" s="14"/>
      <c r="B500" s="14"/>
      <c r="C500" s="13"/>
    </row>
    <row r="501" ht="15.75" customHeight="1">
      <c r="A501" s="14"/>
      <c r="B501" s="14"/>
      <c r="C501" s="13"/>
    </row>
    <row r="502" ht="15.75" customHeight="1">
      <c r="A502" s="14"/>
      <c r="B502" s="14"/>
      <c r="C502" s="13"/>
    </row>
    <row r="503" ht="15.75" customHeight="1">
      <c r="A503" s="14"/>
      <c r="B503" s="14"/>
      <c r="C503" s="13"/>
    </row>
    <row r="504" ht="15.75" customHeight="1">
      <c r="A504" s="14"/>
      <c r="B504" s="14"/>
      <c r="C504" s="13"/>
    </row>
    <row r="505" ht="15.75" customHeight="1">
      <c r="A505" s="14"/>
      <c r="B505" s="14"/>
      <c r="C505" s="13"/>
    </row>
    <row r="506" ht="15.75" customHeight="1">
      <c r="A506" s="14"/>
      <c r="B506" s="14"/>
      <c r="C506" s="13"/>
    </row>
    <row r="507" ht="15.75" customHeight="1">
      <c r="A507" s="14"/>
      <c r="B507" s="14"/>
      <c r="C507" s="13"/>
    </row>
    <row r="508" ht="15.75" customHeight="1">
      <c r="A508" s="14"/>
      <c r="B508" s="14"/>
      <c r="C508" s="13"/>
    </row>
    <row r="509" ht="15.75" customHeight="1">
      <c r="A509" s="14"/>
      <c r="B509" s="14"/>
      <c r="C509" s="13"/>
    </row>
    <row r="510" ht="15.75" customHeight="1">
      <c r="A510" s="14"/>
      <c r="B510" s="14"/>
      <c r="C510" s="13"/>
    </row>
    <row r="511" ht="15.75" customHeight="1">
      <c r="A511" s="14"/>
      <c r="B511" s="14"/>
      <c r="C511" s="13"/>
    </row>
    <row r="512" ht="15.75" customHeight="1">
      <c r="A512" s="14"/>
      <c r="B512" s="14"/>
      <c r="C512" s="13"/>
    </row>
    <row r="513" ht="15.75" customHeight="1">
      <c r="A513" s="14"/>
      <c r="B513" s="14"/>
      <c r="C513" s="13"/>
    </row>
    <row r="514" ht="15.75" customHeight="1">
      <c r="A514" s="14"/>
      <c r="B514" s="14"/>
      <c r="C514" s="13"/>
    </row>
    <row r="515" ht="15.75" customHeight="1">
      <c r="A515" s="14"/>
      <c r="B515" s="14"/>
      <c r="C515" s="13"/>
    </row>
    <row r="516" ht="15.75" customHeight="1">
      <c r="A516" s="14"/>
      <c r="B516" s="14"/>
      <c r="C516" s="13"/>
    </row>
    <row r="517" ht="15.75" customHeight="1">
      <c r="A517" s="14"/>
      <c r="B517" s="14"/>
      <c r="C517" s="13"/>
    </row>
    <row r="518" ht="15.75" customHeight="1">
      <c r="A518" s="14"/>
      <c r="B518" s="14"/>
      <c r="C518" s="13"/>
    </row>
    <row r="519" ht="15.75" customHeight="1">
      <c r="A519" s="14"/>
      <c r="B519" s="14"/>
      <c r="C519" s="13"/>
    </row>
    <row r="520" ht="15.75" customHeight="1">
      <c r="A520" s="14"/>
      <c r="B520" s="14"/>
      <c r="C520" s="13"/>
    </row>
    <row r="521" ht="15.75" customHeight="1">
      <c r="A521" s="14"/>
      <c r="B521" s="14"/>
      <c r="C521" s="13"/>
    </row>
    <row r="522" ht="15.75" customHeight="1">
      <c r="A522" s="14"/>
      <c r="B522" s="14"/>
      <c r="C522" s="13"/>
    </row>
    <row r="523" ht="15.75" customHeight="1">
      <c r="A523" s="14"/>
      <c r="B523" s="14"/>
      <c r="C523" s="13"/>
    </row>
    <row r="524" ht="15.75" customHeight="1">
      <c r="A524" s="14"/>
      <c r="B524" s="14"/>
      <c r="C524" s="13"/>
    </row>
    <row r="525" ht="15.75" customHeight="1">
      <c r="A525" s="14"/>
      <c r="B525" s="14"/>
      <c r="C525" s="13"/>
    </row>
    <row r="526" ht="15.75" customHeight="1">
      <c r="A526" s="14"/>
      <c r="B526" s="14"/>
      <c r="C526" s="13"/>
    </row>
    <row r="527" ht="15.75" customHeight="1">
      <c r="A527" s="14"/>
      <c r="B527" s="14"/>
      <c r="C527" s="13"/>
    </row>
    <row r="528" ht="15.75" customHeight="1">
      <c r="A528" s="14"/>
      <c r="B528" s="14"/>
      <c r="C528" s="13"/>
    </row>
    <row r="529" ht="15.75" customHeight="1">
      <c r="A529" s="14"/>
      <c r="B529" s="14"/>
      <c r="C529" s="13"/>
    </row>
    <row r="530" ht="15.75" customHeight="1">
      <c r="A530" s="14"/>
      <c r="B530" s="14"/>
      <c r="C530" s="13"/>
    </row>
    <row r="531" ht="15.75" customHeight="1">
      <c r="A531" s="14"/>
      <c r="B531" s="14"/>
      <c r="C531" s="13"/>
    </row>
    <row r="532" ht="15.75" customHeight="1">
      <c r="A532" s="14"/>
      <c r="B532" s="14"/>
      <c r="C532" s="13"/>
    </row>
    <row r="533" ht="15.75" customHeight="1">
      <c r="A533" s="14"/>
      <c r="B533" s="14"/>
      <c r="C533" s="13"/>
    </row>
    <row r="534" ht="15.75" customHeight="1">
      <c r="A534" s="14"/>
      <c r="B534" s="14"/>
      <c r="C534" s="13"/>
    </row>
    <row r="535" ht="15.75" customHeight="1">
      <c r="A535" s="14"/>
      <c r="B535" s="14"/>
      <c r="C535" s="13"/>
    </row>
    <row r="536" ht="15.75" customHeight="1">
      <c r="A536" s="14"/>
      <c r="B536" s="14"/>
      <c r="C536" s="13"/>
    </row>
    <row r="537" ht="15.75" customHeight="1">
      <c r="A537" s="14"/>
      <c r="B537" s="14"/>
      <c r="C537" s="13"/>
    </row>
    <row r="538" ht="15.75" customHeight="1">
      <c r="A538" s="14"/>
      <c r="B538" s="14"/>
      <c r="C538" s="13"/>
    </row>
    <row r="539" ht="15.75" customHeight="1">
      <c r="A539" s="14"/>
      <c r="B539" s="14"/>
      <c r="C539" s="13"/>
    </row>
    <row r="540" ht="15.75" customHeight="1">
      <c r="A540" s="14"/>
      <c r="B540" s="14"/>
      <c r="C540" s="13"/>
    </row>
    <row r="541" ht="15.75" customHeight="1">
      <c r="A541" s="14"/>
      <c r="B541" s="14"/>
      <c r="C541" s="13"/>
    </row>
    <row r="542" ht="15.75" customHeight="1">
      <c r="A542" s="14"/>
      <c r="B542" s="14"/>
      <c r="C542" s="13"/>
    </row>
    <row r="543" ht="15.75" customHeight="1">
      <c r="A543" s="14"/>
      <c r="B543" s="14"/>
      <c r="C543" s="13"/>
    </row>
    <row r="544" ht="15.75" customHeight="1">
      <c r="A544" s="14"/>
      <c r="B544" s="14"/>
      <c r="C544" s="13"/>
    </row>
    <row r="545" ht="15.75" customHeight="1">
      <c r="A545" s="14"/>
      <c r="B545" s="14"/>
      <c r="C545" s="13"/>
    </row>
    <row r="546" ht="15.75" customHeight="1">
      <c r="A546" s="14"/>
      <c r="B546" s="14"/>
      <c r="C546" s="13"/>
    </row>
    <row r="547" ht="15.75" customHeight="1">
      <c r="A547" s="14"/>
      <c r="B547" s="14"/>
      <c r="C547" s="13"/>
    </row>
    <row r="548" ht="15.75" customHeight="1">
      <c r="A548" s="14"/>
      <c r="B548" s="14"/>
      <c r="C548" s="13"/>
    </row>
    <row r="549" ht="15.75" customHeight="1">
      <c r="A549" s="14"/>
      <c r="B549" s="14"/>
      <c r="C549" s="13"/>
    </row>
    <row r="550" ht="15.75" customHeight="1">
      <c r="A550" s="14"/>
      <c r="B550" s="14"/>
      <c r="C550" s="13"/>
    </row>
    <row r="551" ht="15.75" customHeight="1">
      <c r="A551" s="14"/>
      <c r="B551" s="14"/>
      <c r="C551" s="13"/>
    </row>
    <row r="552" ht="15.75" customHeight="1">
      <c r="A552" s="14"/>
      <c r="B552" s="14"/>
      <c r="C552" s="13"/>
    </row>
    <row r="553" ht="15.75" customHeight="1">
      <c r="A553" s="14"/>
      <c r="B553" s="14"/>
      <c r="C553" s="13"/>
    </row>
    <row r="554" ht="15.75" customHeight="1">
      <c r="A554" s="14"/>
      <c r="B554" s="14"/>
      <c r="C554" s="13"/>
    </row>
    <row r="555" ht="15.75" customHeight="1">
      <c r="A555" s="14"/>
      <c r="B555" s="14"/>
      <c r="C555" s="13"/>
    </row>
    <row r="556" ht="15.75" customHeight="1">
      <c r="A556" s="14"/>
      <c r="B556" s="14"/>
      <c r="C556" s="13"/>
    </row>
    <row r="557" ht="15.75" customHeight="1">
      <c r="A557" s="14"/>
      <c r="B557" s="14"/>
      <c r="C557" s="13"/>
    </row>
    <row r="558" ht="15.75" customHeight="1">
      <c r="A558" s="14"/>
      <c r="B558" s="14"/>
      <c r="C558" s="13"/>
    </row>
    <row r="559" ht="15.75" customHeight="1">
      <c r="A559" s="14"/>
      <c r="B559" s="14"/>
      <c r="C559" s="13"/>
    </row>
    <row r="560" ht="15.75" customHeight="1">
      <c r="A560" s="14"/>
      <c r="B560" s="14"/>
      <c r="C560" s="13"/>
    </row>
    <row r="561" ht="15.75" customHeight="1">
      <c r="A561" s="14"/>
      <c r="B561" s="14"/>
      <c r="C561" s="13"/>
    </row>
    <row r="562" ht="15.75" customHeight="1">
      <c r="A562" s="14"/>
      <c r="B562" s="14"/>
      <c r="C562" s="13"/>
    </row>
    <row r="563" ht="15.75" customHeight="1">
      <c r="A563" s="14"/>
      <c r="B563" s="14"/>
      <c r="C563" s="13"/>
    </row>
    <row r="564" ht="15.75" customHeight="1">
      <c r="A564" s="14"/>
      <c r="B564" s="14"/>
      <c r="C564" s="13"/>
    </row>
    <row r="565" ht="15.75" customHeight="1">
      <c r="A565" s="14"/>
      <c r="B565" s="14"/>
      <c r="C565" s="13"/>
    </row>
    <row r="566" ht="15.75" customHeight="1">
      <c r="A566" s="14"/>
      <c r="B566" s="14"/>
      <c r="C566" s="13"/>
    </row>
    <row r="567" ht="15.75" customHeight="1">
      <c r="A567" s="14"/>
      <c r="B567" s="14"/>
      <c r="C567" s="13"/>
    </row>
    <row r="568" ht="15.75" customHeight="1">
      <c r="A568" s="14"/>
      <c r="B568" s="14"/>
      <c r="C568" s="13"/>
    </row>
    <row r="569" ht="15.75" customHeight="1">
      <c r="A569" s="14"/>
      <c r="B569" s="14"/>
      <c r="C569" s="13"/>
    </row>
    <row r="570" ht="15.75" customHeight="1">
      <c r="A570" s="14"/>
      <c r="B570" s="14"/>
      <c r="C570" s="13"/>
    </row>
    <row r="571" ht="15.75" customHeight="1">
      <c r="A571" s="14"/>
      <c r="B571" s="14"/>
      <c r="C571" s="13"/>
    </row>
    <row r="572" ht="15.75" customHeight="1">
      <c r="A572" s="14"/>
      <c r="B572" s="14"/>
      <c r="C572" s="13"/>
    </row>
    <row r="573" ht="15.75" customHeight="1">
      <c r="A573" s="14"/>
      <c r="B573" s="14"/>
      <c r="C573" s="13"/>
    </row>
    <row r="574" ht="15.75" customHeight="1">
      <c r="A574" s="14"/>
      <c r="B574" s="14"/>
      <c r="C574" s="13"/>
    </row>
    <row r="575" ht="15.75" customHeight="1">
      <c r="A575" s="14"/>
      <c r="B575" s="14"/>
      <c r="C575" s="13"/>
    </row>
    <row r="576" ht="15.75" customHeight="1">
      <c r="A576" s="14"/>
      <c r="B576" s="14"/>
      <c r="C576" s="13"/>
    </row>
    <row r="577" ht="15.75" customHeight="1">
      <c r="A577" s="14"/>
      <c r="B577" s="14"/>
      <c r="C577" s="13"/>
    </row>
    <row r="578" ht="15.75" customHeight="1">
      <c r="A578" s="14"/>
      <c r="B578" s="14"/>
      <c r="C578" s="13"/>
    </row>
    <row r="579" ht="15.75" customHeight="1">
      <c r="A579" s="14"/>
      <c r="B579" s="14"/>
      <c r="C579" s="13"/>
    </row>
    <row r="580" ht="15.75" customHeight="1">
      <c r="A580" s="14"/>
      <c r="B580" s="14"/>
      <c r="C580" s="13"/>
    </row>
    <row r="581" ht="15.75" customHeight="1">
      <c r="A581" s="14"/>
      <c r="B581" s="14"/>
      <c r="C581" s="13"/>
    </row>
    <row r="582" ht="15.75" customHeight="1">
      <c r="A582" s="14"/>
      <c r="B582" s="14"/>
      <c r="C582" s="13"/>
    </row>
    <row r="583" ht="15.75" customHeight="1">
      <c r="A583" s="14"/>
      <c r="B583" s="14"/>
      <c r="C583" s="13"/>
    </row>
    <row r="584" ht="15.75" customHeight="1">
      <c r="A584" s="14"/>
      <c r="B584" s="14"/>
      <c r="C584" s="13"/>
    </row>
    <row r="585" ht="15.75" customHeight="1">
      <c r="A585" s="14"/>
      <c r="B585" s="14"/>
      <c r="C585" s="13"/>
    </row>
    <row r="586" ht="15.75" customHeight="1">
      <c r="A586" s="14"/>
      <c r="B586" s="14"/>
      <c r="C586" s="13"/>
    </row>
    <row r="587" ht="15.75" customHeight="1">
      <c r="A587" s="14"/>
      <c r="B587" s="14"/>
      <c r="C587" s="13"/>
    </row>
    <row r="588" ht="15.75" customHeight="1">
      <c r="A588" s="14"/>
      <c r="B588" s="14"/>
      <c r="C588" s="13"/>
    </row>
    <row r="589" ht="15.75" customHeight="1">
      <c r="A589" s="14"/>
      <c r="B589" s="14"/>
      <c r="C589" s="13"/>
    </row>
    <row r="590" ht="15.75" customHeight="1">
      <c r="A590" s="14"/>
      <c r="B590" s="14"/>
      <c r="C590" s="13"/>
    </row>
    <row r="591" ht="15.75" customHeight="1">
      <c r="A591" s="14"/>
      <c r="B591" s="14"/>
      <c r="C591" s="13"/>
    </row>
    <row r="592" ht="15.75" customHeight="1">
      <c r="A592" s="14"/>
      <c r="B592" s="14"/>
      <c r="C592" s="13"/>
    </row>
    <row r="593" ht="15.75" customHeight="1">
      <c r="A593" s="14"/>
      <c r="B593" s="14"/>
      <c r="C593" s="13"/>
    </row>
    <row r="594" ht="15.75" customHeight="1">
      <c r="A594" s="14"/>
      <c r="B594" s="14"/>
      <c r="C594" s="13"/>
    </row>
    <row r="595" ht="15.75" customHeight="1">
      <c r="A595" s="14"/>
      <c r="B595" s="14"/>
      <c r="C595" s="13"/>
    </row>
    <row r="596" ht="15.75" customHeight="1">
      <c r="A596" s="14"/>
      <c r="B596" s="14"/>
      <c r="C596" s="13"/>
    </row>
    <row r="597" ht="15.75" customHeight="1">
      <c r="A597" s="14"/>
      <c r="B597" s="14"/>
      <c r="C597" s="13"/>
    </row>
    <row r="598" ht="15.75" customHeight="1">
      <c r="A598" s="14"/>
      <c r="B598" s="14"/>
      <c r="C598" s="13"/>
    </row>
    <row r="599" ht="15.75" customHeight="1">
      <c r="A599" s="14"/>
      <c r="B599" s="14"/>
      <c r="C599" s="13"/>
    </row>
    <row r="600" ht="15.75" customHeight="1">
      <c r="A600" s="14"/>
      <c r="B600" s="14"/>
      <c r="C600" s="13"/>
    </row>
    <row r="601" ht="15.75" customHeight="1">
      <c r="A601" s="14"/>
      <c r="B601" s="14"/>
      <c r="C601" s="13"/>
    </row>
    <row r="602" ht="15.75" customHeight="1">
      <c r="A602" s="14"/>
      <c r="B602" s="14"/>
      <c r="C602" s="13"/>
    </row>
    <row r="603" ht="15.75" customHeight="1">
      <c r="A603" s="14"/>
      <c r="B603" s="14"/>
      <c r="C603" s="13"/>
    </row>
    <row r="604" ht="15.75" customHeight="1">
      <c r="A604" s="14"/>
      <c r="B604" s="14"/>
      <c r="C604" s="13"/>
    </row>
    <row r="605" ht="15.75" customHeight="1">
      <c r="A605" s="14"/>
      <c r="B605" s="14"/>
      <c r="C605" s="13"/>
    </row>
    <row r="606" ht="15.75" customHeight="1">
      <c r="A606" s="14"/>
      <c r="B606" s="14"/>
      <c r="C606" s="13"/>
    </row>
    <row r="607" ht="15.75" customHeight="1">
      <c r="A607" s="14"/>
      <c r="B607" s="14"/>
      <c r="C607" s="13"/>
    </row>
    <row r="608" ht="15.75" customHeight="1">
      <c r="A608" s="14"/>
      <c r="B608" s="14"/>
      <c r="C608" s="13"/>
    </row>
    <row r="609" ht="15.75" customHeight="1">
      <c r="A609" s="14"/>
      <c r="B609" s="14"/>
      <c r="C609" s="13"/>
    </row>
    <row r="610" ht="15.75" customHeight="1">
      <c r="A610" s="14"/>
      <c r="B610" s="14"/>
      <c r="C610" s="13"/>
    </row>
    <row r="611" ht="15.75" customHeight="1">
      <c r="A611" s="14"/>
      <c r="B611" s="14"/>
      <c r="C611" s="13"/>
    </row>
    <row r="612" ht="15.75" customHeight="1">
      <c r="A612" s="14"/>
      <c r="B612" s="14"/>
      <c r="C612" s="13"/>
    </row>
    <row r="613" ht="15.75" customHeight="1">
      <c r="A613" s="14"/>
      <c r="B613" s="14"/>
      <c r="C613" s="13"/>
    </row>
    <row r="614" ht="15.75" customHeight="1">
      <c r="A614" s="14"/>
      <c r="B614" s="14"/>
      <c r="C614" s="13"/>
    </row>
    <row r="615" ht="15.75" customHeight="1">
      <c r="A615" s="14"/>
      <c r="B615" s="14"/>
      <c r="C615" s="13"/>
    </row>
    <row r="616" ht="15.75" customHeight="1">
      <c r="A616" s="14"/>
      <c r="B616" s="14"/>
      <c r="C616" s="13"/>
    </row>
    <row r="617" ht="15.75" customHeight="1">
      <c r="A617" s="14"/>
      <c r="B617" s="14"/>
      <c r="C617" s="13"/>
    </row>
    <row r="618" ht="15.75" customHeight="1">
      <c r="A618" s="14"/>
      <c r="B618" s="14"/>
      <c r="C618" s="13"/>
    </row>
    <row r="619" ht="15.75" customHeight="1">
      <c r="A619" s="14"/>
      <c r="B619" s="14"/>
      <c r="C619" s="13"/>
    </row>
    <row r="620" ht="15.75" customHeight="1">
      <c r="A620" s="14"/>
      <c r="B620" s="14"/>
      <c r="C620" s="13"/>
    </row>
    <row r="621" ht="15.75" customHeight="1">
      <c r="A621" s="14"/>
      <c r="B621" s="14"/>
      <c r="C621" s="13"/>
    </row>
    <row r="622" ht="15.75" customHeight="1">
      <c r="A622" s="14"/>
      <c r="B622" s="14"/>
      <c r="C622" s="13"/>
    </row>
    <row r="623" ht="15.75" customHeight="1">
      <c r="A623" s="14"/>
      <c r="B623" s="14"/>
      <c r="C623" s="13"/>
    </row>
    <row r="624" ht="15.75" customHeight="1">
      <c r="A624" s="14"/>
      <c r="B624" s="14"/>
      <c r="C624" s="13"/>
    </row>
    <row r="625" ht="15.75" customHeight="1">
      <c r="A625" s="14"/>
      <c r="B625" s="14"/>
      <c r="C625" s="13"/>
    </row>
    <row r="626" ht="15.75" customHeight="1">
      <c r="A626" s="14"/>
      <c r="B626" s="14"/>
      <c r="C626" s="13"/>
    </row>
    <row r="627" ht="15.75" customHeight="1">
      <c r="A627" s="14"/>
      <c r="B627" s="14"/>
      <c r="C627" s="13"/>
    </row>
    <row r="628" ht="15.75" customHeight="1">
      <c r="A628" s="14"/>
      <c r="B628" s="14"/>
      <c r="C628" s="13"/>
    </row>
    <row r="629" ht="15.75" customHeight="1">
      <c r="A629" s="14"/>
      <c r="B629" s="14"/>
      <c r="C629" s="13"/>
    </row>
    <row r="630" ht="15.75" customHeight="1">
      <c r="A630" s="14"/>
      <c r="B630" s="14"/>
      <c r="C630" s="13"/>
    </row>
    <row r="631" ht="15.75" customHeight="1">
      <c r="A631" s="14"/>
      <c r="B631" s="14"/>
      <c r="C631" s="13"/>
    </row>
    <row r="632" ht="15.75" customHeight="1">
      <c r="A632" s="14"/>
      <c r="B632" s="14"/>
      <c r="C632" s="13"/>
    </row>
    <row r="633" ht="15.75" customHeight="1">
      <c r="A633" s="14"/>
      <c r="B633" s="14"/>
      <c r="C633" s="13"/>
    </row>
    <row r="634" ht="15.75" customHeight="1">
      <c r="A634" s="14"/>
      <c r="B634" s="14"/>
      <c r="C634" s="13"/>
    </row>
    <row r="635" ht="15.75" customHeight="1">
      <c r="A635" s="14"/>
      <c r="B635" s="14"/>
      <c r="C635" s="13"/>
    </row>
    <row r="636" ht="15.75" customHeight="1">
      <c r="A636" s="14"/>
      <c r="B636" s="14"/>
      <c r="C636" s="13"/>
    </row>
    <row r="637" ht="15.75" customHeight="1">
      <c r="A637" s="14"/>
      <c r="B637" s="14"/>
      <c r="C637" s="13"/>
    </row>
    <row r="638" ht="15.75" customHeight="1">
      <c r="A638" s="14"/>
      <c r="B638" s="14"/>
      <c r="C638" s="13"/>
    </row>
    <row r="639" ht="15.75" customHeight="1">
      <c r="A639" s="14"/>
      <c r="B639" s="14"/>
      <c r="C639" s="13"/>
    </row>
    <row r="640" ht="15.75" customHeight="1">
      <c r="A640" s="14"/>
      <c r="B640" s="14"/>
      <c r="C640" s="13"/>
    </row>
    <row r="641" ht="15.75" customHeight="1">
      <c r="A641" s="14"/>
      <c r="B641" s="14"/>
      <c r="C641" s="13"/>
    </row>
    <row r="642" ht="15.75" customHeight="1">
      <c r="A642" s="14"/>
      <c r="B642" s="14"/>
      <c r="C642" s="13"/>
    </row>
    <row r="643" ht="15.75" customHeight="1">
      <c r="A643" s="14"/>
      <c r="B643" s="14"/>
      <c r="C643" s="13"/>
    </row>
    <row r="644" ht="15.75" customHeight="1">
      <c r="A644" s="14"/>
      <c r="B644" s="14"/>
      <c r="C644" s="13"/>
    </row>
    <row r="645" ht="15.75" customHeight="1">
      <c r="A645" s="14"/>
      <c r="B645" s="14"/>
      <c r="C645" s="13"/>
    </row>
    <row r="646" ht="15.75" customHeight="1">
      <c r="A646" s="14"/>
      <c r="B646" s="14"/>
      <c r="C646" s="13"/>
    </row>
    <row r="647" ht="15.75" customHeight="1">
      <c r="A647" s="14"/>
      <c r="B647" s="14"/>
      <c r="C647" s="13"/>
    </row>
    <row r="648" ht="15.75" customHeight="1">
      <c r="A648" s="14"/>
      <c r="B648" s="14"/>
      <c r="C648" s="13"/>
    </row>
    <row r="649" ht="15.75" customHeight="1">
      <c r="A649" s="14"/>
      <c r="B649" s="14"/>
      <c r="C649" s="13"/>
    </row>
    <row r="650" ht="15.75" customHeight="1">
      <c r="A650" s="14"/>
      <c r="B650" s="14"/>
      <c r="C650" s="13"/>
    </row>
    <row r="651" ht="15.75" customHeight="1">
      <c r="A651" s="14"/>
      <c r="B651" s="14"/>
      <c r="C651" s="13"/>
    </row>
    <row r="652" ht="15.75" customHeight="1">
      <c r="A652" s="14"/>
      <c r="B652" s="14"/>
      <c r="C652" s="13"/>
    </row>
    <row r="653" ht="15.75" customHeight="1">
      <c r="A653" s="14"/>
      <c r="B653" s="14"/>
      <c r="C653" s="13"/>
    </row>
    <row r="654" ht="15.75" customHeight="1">
      <c r="A654" s="14"/>
      <c r="B654" s="14"/>
      <c r="C654" s="13"/>
    </row>
    <row r="655" ht="15.75" customHeight="1">
      <c r="A655" s="14"/>
      <c r="B655" s="14"/>
      <c r="C655" s="13"/>
    </row>
    <row r="656" ht="15.75" customHeight="1">
      <c r="A656" s="14"/>
      <c r="B656" s="14"/>
      <c r="C656" s="13"/>
    </row>
    <row r="657" ht="15.75" customHeight="1">
      <c r="A657" s="14"/>
      <c r="B657" s="14"/>
      <c r="C657" s="13"/>
    </row>
    <row r="658" ht="15.75" customHeight="1">
      <c r="A658" s="14"/>
      <c r="B658" s="14"/>
      <c r="C658" s="13"/>
    </row>
    <row r="659" ht="15.75" customHeight="1">
      <c r="A659" s="14"/>
      <c r="B659" s="14"/>
      <c r="C659" s="13"/>
    </row>
    <row r="660" ht="15.75" customHeight="1">
      <c r="A660" s="14"/>
      <c r="B660" s="14"/>
      <c r="C660" s="13"/>
    </row>
    <row r="661" ht="15.75" customHeight="1">
      <c r="A661" s="14"/>
      <c r="B661" s="14"/>
      <c r="C661" s="13"/>
    </row>
    <row r="662" ht="15.75" customHeight="1">
      <c r="A662" s="14"/>
      <c r="B662" s="14"/>
      <c r="C662" s="13"/>
    </row>
    <row r="663" ht="15.75" customHeight="1">
      <c r="A663" s="14"/>
      <c r="B663" s="14"/>
      <c r="C663" s="13"/>
    </row>
    <row r="664" ht="15.75" customHeight="1">
      <c r="A664" s="14"/>
      <c r="B664" s="14"/>
      <c r="C664" s="13"/>
    </row>
    <row r="665" ht="15.75" customHeight="1">
      <c r="A665" s="14"/>
      <c r="B665" s="14"/>
      <c r="C665" s="13"/>
    </row>
    <row r="666" ht="15.75" customHeight="1">
      <c r="A666" s="14"/>
      <c r="B666" s="14"/>
      <c r="C666" s="13"/>
    </row>
    <row r="667" ht="15.75" customHeight="1">
      <c r="A667" s="14"/>
      <c r="B667" s="14"/>
      <c r="C667" s="13"/>
    </row>
    <row r="668" ht="15.75" customHeight="1">
      <c r="A668" s="14"/>
      <c r="B668" s="14"/>
      <c r="C668" s="13"/>
    </row>
    <row r="669" ht="15.75" customHeight="1">
      <c r="A669" s="14"/>
      <c r="B669" s="14"/>
      <c r="C669" s="13"/>
    </row>
    <row r="670" ht="15.75" customHeight="1">
      <c r="A670" s="14"/>
      <c r="B670" s="14"/>
      <c r="C670" s="13"/>
    </row>
    <row r="671" ht="15.75" customHeight="1">
      <c r="A671" s="14"/>
      <c r="B671" s="14"/>
      <c r="C671" s="13"/>
    </row>
    <row r="672" ht="15.75" customHeight="1">
      <c r="A672" s="14"/>
      <c r="B672" s="14"/>
      <c r="C672" s="13"/>
    </row>
    <row r="673" ht="15.75" customHeight="1">
      <c r="A673" s="14"/>
      <c r="B673" s="14"/>
      <c r="C673" s="13"/>
    </row>
    <row r="674" ht="15.75" customHeight="1">
      <c r="A674" s="14"/>
      <c r="B674" s="14"/>
      <c r="C674" s="13"/>
    </row>
    <row r="675" ht="15.75" customHeight="1">
      <c r="A675" s="14"/>
      <c r="B675" s="14"/>
      <c r="C675" s="13"/>
    </row>
    <row r="676" ht="15.75" customHeight="1">
      <c r="A676" s="14"/>
      <c r="B676" s="14"/>
      <c r="C676" s="13"/>
    </row>
    <row r="677" ht="15.75" customHeight="1">
      <c r="A677" s="14"/>
      <c r="B677" s="14"/>
      <c r="C677" s="13"/>
    </row>
    <row r="678" ht="15.75" customHeight="1">
      <c r="A678" s="14"/>
      <c r="B678" s="14"/>
      <c r="C678" s="13"/>
    </row>
    <row r="679" ht="15.75" customHeight="1">
      <c r="A679" s="14"/>
      <c r="B679" s="14"/>
      <c r="C679" s="13"/>
    </row>
    <row r="680" ht="15.75" customHeight="1">
      <c r="A680" s="14"/>
      <c r="B680" s="14"/>
      <c r="C680" s="13"/>
    </row>
    <row r="681" ht="15.75" customHeight="1">
      <c r="A681" s="14"/>
      <c r="B681" s="14"/>
      <c r="C681" s="13"/>
    </row>
    <row r="682" ht="15.75" customHeight="1">
      <c r="A682" s="14"/>
      <c r="B682" s="14"/>
      <c r="C682" s="13"/>
    </row>
    <row r="683" ht="15.75" customHeight="1">
      <c r="A683" s="14"/>
      <c r="B683" s="14"/>
      <c r="C683" s="13"/>
    </row>
    <row r="684" ht="15.75" customHeight="1">
      <c r="A684" s="14"/>
      <c r="B684" s="14"/>
      <c r="C684" s="13"/>
    </row>
    <row r="685" ht="15.75" customHeight="1">
      <c r="A685" s="14"/>
      <c r="B685" s="14"/>
      <c r="C685" s="13"/>
    </row>
    <row r="686" ht="15.75" customHeight="1">
      <c r="A686" s="14"/>
      <c r="B686" s="14"/>
      <c r="C686" s="13"/>
    </row>
    <row r="687" ht="15.75" customHeight="1">
      <c r="A687" s="14"/>
      <c r="B687" s="14"/>
      <c r="C687" s="13"/>
    </row>
    <row r="688" ht="15.75" customHeight="1">
      <c r="A688" s="14"/>
      <c r="B688" s="14"/>
      <c r="C688" s="13"/>
    </row>
    <row r="689" ht="15.75" customHeight="1">
      <c r="A689" s="14"/>
      <c r="B689" s="14"/>
      <c r="C689" s="13"/>
    </row>
    <row r="690" ht="15.75" customHeight="1">
      <c r="A690" s="14"/>
      <c r="B690" s="14"/>
      <c r="C690" s="13"/>
    </row>
    <row r="691" ht="15.75" customHeight="1">
      <c r="A691" s="14"/>
      <c r="B691" s="14"/>
      <c r="C691" s="13"/>
    </row>
    <row r="692" ht="15.75" customHeight="1">
      <c r="A692" s="14"/>
      <c r="B692" s="14"/>
      <c r="C692" s="13"/>
    </row>
    <row r="693" ht="15.75" customHeight="1">
      <c r="A693" s="14"/>
      <c r="B693" s="14"/>
      <c r="C693" s="13"/>
    </row>
    <row r="694" ht="15.75" customHeight="1">
      <c r="A694" s="14"/>
      <c r="B694" s="14"/>
      <c r="C694" s="13"/>
    </row>
    <row r="695" ht="15.75" customHeight="1">
      <c r="A695" s="14"/>
      <c r="B695" s="14"/>
      <c r="C695" s="13"/>
    </row>
    <row r="696" ht="15.75" customHeight="1">
      <c r="A696" s="14"/>
      <c r="B696" s="14"/>
      <c r="C696" s="13"/>
    </row>
    <row r="697" ht="15.75" customHeight="1">
      <c r="A697" s="14"/>
      <c r="B697" s="14"/>
      <c r="C697" s="13"/>
    </row>
    <row r="698" ht="15.75" customHeight="1">
      <c r="A698" s="14"/>
      <c r="B698" s="14"/>
      <c r="C698" s="13"/>
    </row>
    <row r="699" ht="15.75" customHeight="1">
      <c r="A699" s="14"/>
      <c r="B699" s="14"/>
      <c r="C699" s="13"/>
    </row>
    <row r="700" ht="15.75" customHeight="1">
      <c r="A700" s="14"/>
      <c r="B700" s="14"/>
      <c r="C700" s="13"/>
    </row>
    <row r="701" ht="15.75" customHeight="1">
      <c r="A701" s="14"/>
      <c r="B701" s="14"/>
      <c r="C701" s="13"/>
    </row>
    <row r="702" ht="15.75" customHeight="1">
      <c r="A702" s="14"/>
      <c r="B702" s="14"/>
      <c r="C702" s="13"/>
    </row>
    <row r="703" ht="15.75" customHeight="1">
      <c r="A703" s="14"/>
      <c r="B703" s="14"/>
      <c r="C703" s="13"/>
    </row>
    <row r="704" ht="15.75" customHeight="1">
      <c r="A704" s="14"/>
      <c r="B704" s="14"/>
      <c r="C704" s="13"/>
    </row>
    <row r="705" ht="15.75" customHeight="1">
      <c r="A705" s="14"/>
      <c r="B705" s="14"/>
      <c r="C705" s="13"/>
    </row>
    <row r="706" ht="15.75" customHeight="1">
      <c r="A706" s="14"/>
      <c r="B706" s="14"/>
      <c r="C706" s="13"/>
    </row>
    <row r="707" ht="15.75" customHeight="1">
      <c r="A707" s="14"/>
      <c r="B707" s="14"/>
      <c r="C707" s="13"/>
    </row>
    <row r="708" ht="15.75" customHeight="1">
      <c r="A708" s="14"/>
      <c r="B708" s="14"/>
      <c r="C708" s="13"/>
    </row>
    <row r="709" ht="15.75" customHeight="1">
      <c r="A709" s="14"/>
      <c r="B709" s="14"/>
      <c r="C709" s="13"/>
    </row>
    <row r="710" ht="15.75" customHeight="1">
      <c r="A710" s="14"/>
      <c r="B710" s="14"/>
      <c r="C710" s="13"/>
    </row>
    <row r="711" ht="15.75" customHeight="1">
      <c r="A711" s="14"/>
      <c r="B711" s="14"/>
      <c r="C711" s="13"/>
    </row>
    <row r="712" ht="15.75" customHeight="1">
      <c r="A712" s="14"/>
      <c r="B712" s="14"/>
      <c r="C712" s="13"/>
    </row>
    <row r="713" ht="15.75" customHeight="1">
      <c r="A713" s="14"/>
      <c r="B713" s="14"/>
      <c r="C713" s="13"/>
    </row>
    <row r="714" ht="15.75" customHeight="1">
      <c r="A714" s="14"/>
      <c r="B714" s="14"/>
      <c r="C714" s="13"/>
    </row>
    <row r="715" ht="15.75" customHeight="1">
      <c r="A715" s="14"/>
      <c r="B715" s="14"/>
      <c r="C715" s="13"/>
    </row>
    <row r="716" ht="15.75" customHeight="1">
      <c r="A716" s="14"/>
      <c r="B716" s="14"/>
      <c r="C716" s="13"/>
    </row>
    <row r="717" ht="15.75" customHeight="1">
      <c r="A717" s="14"/>
      <c r="B717" s="14"/>
      <c r="C717" s="13"/>
    </row>
    <row r="718" ht="15.75" customHeight="1">
      <c r="A718" s="14"/>
      <c r="B718" s="14"/>
      <c r="C718" s="13"/>
    </row>
    <row r="719" ht="15.75" customHeight="1">
      <c r="A719" s="14"/>
      <c r="B719" s="14"/>
      <c r="C719" s="13"/>
    </row>
    <row r="720" ht="15.75" customHeight="1">
      <c r="A720" s="14"/>
      <c r="B720" s="14"/>
      <c r="C720" s="13"/>
    </row>
    <row r="721" ht="15.75" customHeight="1">
      <c r="A721" s="14"/>
      <c r="B721" s="14"/>
      <c r="C721" s="13"/>
    </row>
    <row r="722" ht="15.75" customHeight="1">
      <c r="A722" s="14"/>
      <c r="B722" s="14"/>
      <c r="C722" s="13"/>
    </row>
    <row r="723" ht="15.75" customHeight="1">
      <c r="A723" s="14"/>
      <c r="B723" s="14"/>
      <c r="C723" s="13"/>
    </row>
    <row r="724" ht="15.75" customHeight="1">
      <c r="A724" s="14"/>
      <c r="B724" s="14"/>
      <c r="C724" s="13"/>
    </row>
    <row r="725" ht="15.75" customHeight="1">
      <c r="A725" s="14"/>
      <c r="B725" s="14"/>
      <c r="C725" s="13"/>
    </row>
    <row r="726" ht="15.75" customHeight="1">
      <c r="A726" s="14"/>
      <c r="B726" s="14"/>
      <c r="C726" s="13"/>
    </row>
    <row r="727" ht="15.75" customHeight="1">
      <c r="A727" s="14"/>
      <c r="B727" s="14"/>
      <c r="C727" s="13"/>
    </row>
    <row r="728" ht="15.75" customHeight="1">
      <c r="A728" s="14"/>
      <c r="B728" s="14"/>
      <c r="C728" s="13"/>
    </row>
    <row r="729" ht="15.75" customHeight="1">
      <c r="A729" s="14"/>
      <c r="B729" s="14"/>
      <c r="C729" s="13"/>
    </row>
    <row r="730" ht="15.75" customHeight="1">
      <c r="A730" s="14"/>
      <c r="B730" s="14"/>
      <c r="C730" s="13"/>
    </row>
    <row r="731" ht="15.75" customHeight="1">
      <c r="A731" s="14"/>
      <c r="B731" s="14"/>
      <c r="C731" s="13"/>
    </row>
    <row r="732" ht="15.75" customHeight="1">
      <c r="A732" s="14"/>
      <c r="B732" s="14"/>
      <c r="C732" s="13"/>
    </row>
    <row r="733" ht="15.75" customHeight="1">
      <c r="A733" s="14"/>
      <c r="B733" s="14"/>
      <c r="C733" s="13"/>
    </row>
    <row r="734" ht="15.75" customHeight="1">
      <c r="A734" s="14"/>
      <c r="B734" s="14"/>
      <c r="C734" s="13"/>
    </row>
    <row r="735" ht="15.75" customHeight="1">
      <c r="A735" s="14"/>
      <c r="B735" s="14"/>
      <c r="C735" s="13"/>
    </row>
    <row r="736" ht="15.75" customHeight="1">
      <c r="A736" s="14"/>
      <c r="B736" s="14"/>
      <c r="C736" s="13"/>
    </row>
    <row r="737" ht="15.75" customHeight="1">
      <c r="A737" s="14"/>
      <c r="B737" s="14"/>
      <c r="C737" s="13"/>
    </row>
    <row r="738" ht="15.75" customHeight="1">
      <c r="A738" s="14"/>
      <c r="B738" s="14"/>
      <c r="C738" s="13"/>
    </row>
    <row r="739" ht="15.75" customHeight="1">
      <c r="A739" s="14"/>
      <c r="B739" s="14"/>
      <c r="C739" s="13"/>
    </row>
    <row r="740" ht="15.75" customHeight="1">
      <c r="A740" s="14"/>
      <c r="B740" s="14"/>
      <c r="C740" s="13"/>
    </row>
    <row r="741" ht="15.75" customHeight="1">
      <c r="A741" s="14"/>
      <c r="B741" s="14"/>
      <c r="C741" s="13"/>
    </row>
    <row r="742" ht="15.75" customHeight="1">
      <c r="A742" s="14"/>
      <c r="B742" s="14"/>
      <c r="C742" s="13"/>
    </row>
    <row r="743" ht="15.75" customHeight="1">
      <c r="A743" s="14"/>
      <c r="B743" s="14"/>
      <c r="C743" s="13"/>
    </row>
    <row r="744" ht="15.75" customHeight="1">
      <c r="A744" s="14"/>
      <c r="B744" s="14"/>
      <c r="C744" s="13"/>
    </row>
    <row r="745" ht="15.75" customHeight="1">
      <c r="A745" s="14"/>
      <c r="B745" s="14"/>
      <c r="C745" s="13"/>
    </row>
    <row r="746" ht="15.75" customHeight="1">
      <c r="A746" s="14"/>
      <c r="B746" s="14"/>
      <c r="C746" s="13"/>
    </row>
    <row r="747" ht="15.75" customHeight="1">
      <c r="A747" s="14"/>
      <c r="B747" s="14"/>
      <c r="C747" s="13"/>
    </row>
    <row r="748" ht="15.75" customHeight="1">
      <c r="A748" s="14"/>
      <c r="B748" s="14"/>
      <c r="C748" s="13"/>
    </row>
    <row r="749" ht="15.75" customHeight="1">
      <c r="A749" s="14"/>
      <c r="B749" s="14"/>
      <c r="C749" s="13"/>
    </row>
    <row r="750" ht="15.75" customHeight="1">
      <c r="A750" s="14"/>
      <c r="B750" s="14"/>
      <c r="C750" s="13"/>
    </row>
    <row r="751" ht="15.75" customHeight="1">
      <c r="A751" s="14"/>
      <c r="B751" s="14"/>
      <c r="C751" s="13"/>
    </row>
    <row r="752" ht="15.75" customHeight="1">
      <c r="A752" s="14"/>
      <c r="B752" s="14"/>
      <c r="C752" s="13"/>
    </row>
    <row r="753" ht="15.75" customHeight="1">
      <c r="A753" s="14"/>
      <c r="B753" s="14"/>
      <c r="C753" s="13"/>
    </row>
    <row r="754" ht="15.75" customHeight="1">
      <c r="A754" s="14"/>
      <c r="B754" s="14"/>
      <c r="C754" s="13"/>
    </row>
    <row r="755" ht="15.75" customHeight="1">
      <c r="A755" s="14"/>
      <c r="B755" s="14"/>
      <c r="C755" s="13"/>
    </row>
    <row r="756" ht="15.75" customHeight="1">
      <c r="A756" s="14"/>
      <c r="B756" s="14"/>
      <c r="C756" s="13"/>
    </row>
    <row r="757" ht="15.75" customHeight="1">
      <c r="A757" s="14"/>
      <c r="B757" s="14"/>
      <c r="C757" s="13"/>
    </row>
    <row r="758" ht="15.75" customHeight="1">
      <c r="A758" s="14"/>
      <c r="B758" s="14"/>
      <c r="C758" s="13"/>
    </row>
    <row r="759" ht="15.75" customHeight="1">
      <c r="A759" s="14"/>
      <c r="B759" s="14"/>
      <c r="C759" s="13"/>
    </row>
    <row r="760" ht="15.75" customHeight="1">
      <c r="A760" s="14"/>
      <c r="B760" s="14"/>
      <c r="C760" s="13"/>
    </row>
    <row r="761" ht="15.75" customHeight="1">
      <c r="A761" s="14"/>
      <c r="B761" s="14"/>
      <c r="C761" s="13"/>
    </row>
    <row r="762" ht="15.75" customHeight="1">
      <c r="A762" s="14"/>
      <c r="B762" s="14"/>
      <c r="C762" s="13"/>
    </row>
    <row r="763" ht="15.75" customHeight="1">
      <c r="A763" s="14"/>
      <c r="B763" s="14"/>
      <c r="C763" s="13"/>
    </row>
    <row r="764" ht="15.75" customHeight="1">
      <c r="A764" s="14"/>
      <c r="B764" s="14"/>
      <c r="C764" s="13"/>
    </row>
    <row r="765" ht="15.75" customHeight="1">
      <c r="A765" s="14"/>
      <c r="B765" s="14"/>
      <c r="C765" s="13"/>
    </row>
    <row r="766" ht="15.75" customHeight="1">
      <c r="A766" s="14"/>
      <c r="B766" s="14"/>
      <c r="C766" s="13"/>
    </row>
    <row r="767" ht="15.75" customHeight="1">
      <c r="A767" s="14"/>
      <c r="B767" s="14"/>
      <c r="C767" s="13"/>
    </row>
    <row r="768" ht="15.75" customHeight="1">
      <c r="A768" s="14"/>
      <c r="B768" s="14"/>
      <c r="C768" s="13"/>
    </row>
    <row r="769" ht="15.75" customHeight="1">
      <c r="A769" s="14"/>
      <c r="B769" s="14"/>
      <c r="C769" s="13"/>
    </row>
    <row r="770" ht="15.75" customHeight="1">
      <c r="A770" s="14"/>
      <c r="B770" s="14"/>
      <c r="C770" s="13"/>
    </row>
    <row r="771" ht="15.75" customHeight="1">
      <c r="A771" s="14"/>
      <c r="B771" s="14"/>
      <c r="C771" s="13"/>
    </row>
    <row r="772" ht="15.75" customHeight="1">
      <c r="A772" s="14"/>
      <c r="B772" s="14"/>
      <c r="C772" s="13"/>
    </row>
    <row r="773" ht="15.75" customHeight="1">
      <c r="A773" s="14"/>
      <c r="B773" s="14"/>
      <c r="C773" s="13"/>
    </row>
    <row r="774" ht="15.75" customHeight="1">
      <c r="A774" s="14"/>
      <c r="B774" s="14"/>
      <c r="C774" s="13"/>
    </row>
    <row r="775" ht="15.75" customHeight="1">
      <c r="A775" s="14"/>
      <c r="B775" s="14"/>
      <c r="C775" s="13"/>
    </row>
    <row r="776" ht="15.75" customHeight="1">
      <c r="A776" s="14"/>
      <c r="B776" s="14"/>
      <c r="C776" s="13"/>
    </row>
    <row r="777" ht="15.75" customHeight="1">
      <c r="A777" s="14"/>
      <c r="B777" s="14"/>
      <c r="C777" s="13"/>
    </row>
    <row r="778" ht="15.75" customHeight="1">
      <c r="A778" s="14"/>
      <c r="B778" s="14"/>
      <c r="C778" s="13"/>
    </row>
    <row r="779" ht="15.75" customHeight="1">
      <c r="A779" s="14"/>
      <c r="B779" s="14"/>
      <c r="C779" s="13"/>
    </row>
    <row r="780" ht="15.75" customHeight="1">
      <c r="A780" s="14"/>
      <c r="B780" s="14"/>
      <c r="C780" s="13"/>
    </row>
    <row r="781" ht="15.75" customHeight="1">
      <c r="A781" s="14"/>
      <c r="B781" s="14"/>
      <c r="C781" s="13"/>
    </row>
    <row r="782" ht="15.75" customHeight="1">
      <c r="A782" s="14"/>
      <c r="B782" s="14"/>
      <c r="C782" s="13"/>
    </row>
    <row r="783" ht="15.75" customHeight="1">
      <c r="A783" s="14"/>
      <c r="B783" s="14"/>
      <c r="C783" s="13"/>
    </row>
    <row r="784" ht="15.75" customHeight="1">
      <c r="A784" s="14"/>
      <c r="B784" s="14"/>
      <c r="C784" s="13"/>
    </row>
    <row r="785" ht="15.75" customHeight="1">
      <c r="A785" s="14"/>
      <c r="B785" s="14"/>
      <c r="C785" s="13"/>
    </row>
    <row r="786" ht="15.75" customHeight="1">
      <c r="A786" s="14"/>
      <c r="B786" s="14"/>
      <c r="C786" s="13"/>
    </row>
    <row r="787" ht="15.75" customHeight="1">
      <c r="A787" s="14"/>
      <c r="B787" s="14"/>
      <c r="C787" s="13"/>
    </row>
    <row r="788" ht="15.75" customHeight="1">
      <c r="A788" s="14"/>
      <c r="B788" s="14"/>
      <c r="C788" s="13"/>
    </row>
    <row r="789" ht="15.75" customHeight="1">
      <c r="A789" s="14"/>
      <c r="B789" s="14"/>
      <c r="C789" s="13"/>
    </row>
    <row r="790" ht="15.75" customHeight="1">
      <c r="A790" s="14"/>
      <c r="B790" s="14"/>
      <c r="C790" s="13"/>
    </row>
    <row r="791" ht="15.75" customHeight="1">
      <c r="A791" s="14"/>
      <c r="B791" s="14"/>
      <c r="C791" s="13"/>
    </row>
    <row r="792" ht="15.75" customHeight="1">
      <c r="A792" s="14"/>
      <c r="B792" s="14"/>
      <c r="C792" s="13"/>
    </row>
    <row r="793" ht="15.75" customHeight="1">
      <c r="A793" s="14"/>
      <c r="B793" s="14"/>
      <c r="C793" s="13"/>
    </row>
    <row r="794" ht="15.75" customHeight="1">
      <c r="A794" s="14"/>
      <c r="B794" s="14"/>
      <c r="C794" s="13"/>
    </row>
    <row r="795" ht="15.75" customHeight="1">
      <c r="A795" s="14"/>
      <c r="B795" s="14"/>
      <c r="C795" s="13"/>
    </row>
    <row r="796" ht="15.75" customHeight="1">
      <c r="A796" s="14"/>
      <c r="B796" s="14"/>
      <c r="C796" s="13"/>
    </row>
    <row r="797" ht="15.75" customHeight="1">
      <c r="A797" s="14"/>
      <c r="B797" s="14"/>
      <c r="C797" s="13"/>
    </row>
    <row r="798" ht="15.75" customHeight="1">
      <c r="A798" s="14"/>
      <c r="B798" s="14"/>
      <c r="C798" s="13"/>
    </row>
    <row r="799" ht="15.75" customHeight="1">
      <c r="A799" s="14"/>
      <c r="B799" s="14"/>
      <c r="C799" s="13"/>
    </row>
    <row r="800" ht="15.75" customHeight="1">
      <c r="A800" s="14"/>
      <c r="B800" s="14"/>
      <c r="C800" s="13"/>
    </row>
    <row r="801" ht="15.75" customHeight="1">
      <c r="A801" s="14"/>
      <c r="B801" s="14"/>
      <c r="C801" s="13"/>
    </row>
    <row r="802" ht="15.75" customHeight="1">
      <c r="A802" s="14"/>
      <c r="B802" s="14"/>
      <c r="C802" s="13"/>
    </row>
    <row r="803" ht="15.75" customHeight="1">
      <c r="A803" s="14"/>
      <c r="B803" s="14"/>
      <c r="C803" s="13"/>
    </row>
    <row r="804" ht="15.75" customHeight="1">
      <c r="A804" s="14"/>
      <c r="B804" s="14"/>
      <c r="C804" s="13"/>
    </row>
    <row r="805" ht="15.75" customHeight="1">
      <c r="A805" s="14"/>
      <c r="B805" s="14"/>
      <c r="C805" s="13"/>
    </row>
    <row r="806" ht="15.75" customHeight="1">
      <c r="A806" s="14"/>
      <c r="B806" s="14"/>
      <c r="C806" s="13"/>
    </row>
    <row r="807" ht="15.75" customHeight="1">
      <c r="A807" s="14"/>
      <c r="B807" s="14"/>
      <c r="C807" s="13"/>
    </row>
    <row r="808" ht="15.75" customHeight="1">
      <c r="A808" s="14"/>
      <c r="B808" s="14"/>
      <c r="C808" s="13"/>
    </row>
    <row r="809" ht="15.75" customHeight="1">
      <c r="A809" s="14"/>
      <c r="B809" s="14"/>
      <c r="C809" s="13"/>
    </row>
    <row r="810" ht="15.75" customHeight="1">
      <c r="A810" s="14"/>
      <c r="B810" s="14"/>
      <c r="C810" s="13"/>
    </row>
    <row r="811" ht="15.75" customHeight="1">
      <c r="A811" s="14"/>
      <c r="B811" s="14"/>
      <c r="C811" s="13"/>
    </row>
    <row r="812" ht="15.75" customHeight="1">
      <c r="A812" s="14"/>
      <c r="B812" s="14"/>
      <c r="C812" s="13"/>
    </row>
    <row r="813" ht="15.75" customHeight="1">
      <c r="A813" s="14"/>
      <c r="B813" s="14"/>
      <c r="C813" s="13"/>
    </row>
    <row r="814" ht="15.75" customHeight="1">
      <c r="A814" s="14"/>
      <c r="B814" s="14"/>
      <c r="C814" s="13"/>
    </row>
    <row r="815" ht="15.75" customHeight="1">
      <c r="A815" s="14"/>
      <c r="B815" s="14"/>
      <c r="C815" s="13"/>
    </row>
    <row r="816" ht="15.75" customHeight="1">
      <c r="A816" s="14"/>
      <c r="B816" s="14"/>
      <c r="C816" s="13"/>
    </row>
    <row r="817" ht="15.75" customHeight="1">
      <c r="A817" s="14"/>
      <c r="B817" s="14"/>
      <c r="C817" s="13"/>
    </row>
    <row r="818" ht="15.75" customHeight="1">
      <c r="A818" s="14"/>
      <c r="B818" s="14"/>
      <c r="C818" s="13"/>
    </row>
    <row r="819" ht="15.75" customHeight="1">
      <c r="A819" s="14"/>
      <c r="B819" s="14"/>
      <c r="C819" s="13"/>
    </row>
    <row r="820" ht="15.75" customHeight="1">
      <c r="A820" s="14"/>
      <c r="B820" s="14"/>
      <c r="C820" s="13"/>
    </row>
    <row r="821" ht="15.75" customHeight="1">
      <c r="A821" s="14"/>
      <c r="B821" s="14"/>
      <c r="C821" s="13"/>
    </row>
    <row r="822" ht="15.75" customHeight="1">
      <c r="A822" s="14"/>
      <c r="B822" s="14"/>
      <c r="C822" s="13"/>
    </row>
    <row r="823" ht="15.75" customHeight="1">
      <c r="A823" s="14"/>
      <c r="B823" s="14"/>
      <c r="C823" s="13"/>
    </row>
    <row r="824" ht="15.75" customHeight="1">
      <c r="A824" s="14"/>
      <c r="B824" s="14"/>
      <c r="C824" s="13"/>
    </row>
    <row r="825" ht="15.75" customHeight="1">
      <c r="A825" s="14"/>
      <c r="B825" s="14"/>
      <c r="C825" s="13"/>
    </row>
    <row r="826" ht="15.75" customHeight="1">
      <c r="A826" s="14"/>
      <c r="B826" s="14"/>
      <c r="C826" s="13"/>
    </row>
    <row r="827" ht="15.75" customHeight="1">
      <c r="A827" s="14"/>
      <c r="B827" s="14"/>
      <c r="C827" s="13"/>
    </row>
    <row r="828" ht="15.75" customHeight="1">
      <c r="A828" s="14"/>
      <c r="B828" s="14"/>
      <c r="C828" s="13"/>
    </row>
    <row r="829" ht="15.75" customHeight="1">
      <c r="A829" s="14"/>
      <c r="B829" s="14"/>
      <c r="C829" s="13"/>
    </row>
    <row r="830" ht="15.75" customHeight="1">
      <c r="A830" s="14"/>
      <c r="B830" s="14"/>
      <c r="C830" s="13"/>
    </row>
    <row r="831" ht="15.75" customHeight="1">
      <c r="A831" s="14"/>
      <c r="B831" s="14"/>
      <c r="C831" s="13"/>
    </row>
    <row r="832" ht="15.75" customHeight="1">
      <c r="A832" s="14"/>
      <c r="B832" s="14"/>
      <c r="C832" s="13"/>
    </row>
    <row r="833" ht="15.75" customHeight="1">
      <c r="A833" s="14"/>
      <c r="B833" s="14"/>
      <c r="C833" s="13"/>
    </row>
    <row r="834" ht="15.75" customHeight="1">
      <c r="A834" s="14"/>
      <c r="B834" s="14"/>
      <c r="C834" s="13"/>
    </row>
    <row r="835" ht="15.75" customHeight="1">
      <c r="A835" s="14"/>
      <c r="B835" s="14"/>
      <c r="C835" s="13"/>
    </row>
    <row r="836" ht="15.75" customHeight="1">
      <c r="A836" s="14"/>
      <c r="B836" s="14"/>
      <c r="C836" s="13"/>
    </row>
    <row r="837" ht="15.75" customHeight="1">
      <c r="A837" s="14"/>
      <c r="B837" s="14"/>
      <c r="C837" s="13"/>
    </row>
    <row r="838" ht="15.75" customHeight="1">
      <c r="A838" s="14"/>
      <c r="B838" s="14"/>
      <c r="C838" s="13"/>
    </row>
    <row r="839" ht="15.75" customHeight="1">
      <c r="A839" s="14"/>
      <c r="B839" s="14"/>
      <c r="C839" s="13"/>
    </row>
    <row r="840" ht="15.75" customHeight="1">
      <c r="A840" s="14"/>
      <c r="B840" s="14"/>
      <c r="C840" s="13"/>
    </row>
    <row r="841" ht="15.75" customHeight="1">
      <c r="A841" s="14"/>
      <c r="B841" s="14"/>
      <c r="C841" s="13"/>
    </row>
    <row r="842" ht="15.75" customHeight="1">
      <c r="A842" s="14"/>
      <c r="B842" s="14"/>
      <c r="C842" s="13"/>
    </row>
    <row r="843" ht="15.75" customHeight="1">
      <c r="A843" s="14"/>
      <c r="B843" s="14"/>
      <c r="C843" s="13"/>
    </row>
    <row r="844" ht="15.75" customHeight="1">
      <c r="A844" s="14"/>
      <c r="B844" s="14"/>
      <c r="C844" s="13"/>
    </row>
    <row r="845" ht="15.75" customHeight="1">
      <c r="A845" s="14"/>
      <c r="B845" s="14"/>
      <c r="C845" s="13"/>
    </row>
    <row r="846" ht="15.75" customHeight="1">
      <c r="A846" s="14"/>
      <c r="B846" s="14"/>
      <c r="C846" s="13"/>
    </row>
    <row r="847" ht="15.75" customHeight="1">
      <c r="A847" s="14"/>
      <c r="B847" s="14"/>
      <c r="C847" s="13"/>
    </row>
    <row r="848" ht="15.75" customHeight="1">
      <c r="A848" s="14"/>
      <c r="B848" s="14"/>
      <c r="C848" s="13"/>
    </row>
    <row r="849" ht="15.75" customHeight="1">
      <c r="A849" s="14"/>
      <c r="B849" s="14"/>
      <c r="C849" s="13"/>
    </row>
    <row r="850" ht="15.75" customHeight="1">
      <c r="A850" s="14"/>
      <c r="B850" s="14"/>
      <c r="C850" s="13"/>
    </row>
    <row r="851" ht="15.75" customHeight="1">
      <c r="A851" s="14"/>
      <c r="B851" s="14"/>
      <c r="C851" s="13"/>
    </row>
    <row r="852" ht="15.75" customHeight="1">
      <c r="A852" s="14"/>
      <c r="B852" s="14"/>
      <c r="C852" s="13"/>
    </row>
    <row r="853" ht="15.75" customHeight="1">
      <c r="A853" s="14"/>
      <c r="B853" s="14"/>
      <c r="C853" s="13"/>
    </row>
    <row r="854" ht="15.75" customHeight="1">
      <c r="A854" s="14"/>
      <c r="B854" s="14"/>
      <c r="C854" s="13"/>
    </row>
    <row r="855" ht="15.75" customHeight="1">
      <c r="A855" s="14"/>
      <c r="B855" s="14"/>
      <c r="C855" s="13"/>
    </row>
    <row r="856" ht="15.75" customHeight="1">
      <c r="A856" s="14"/>
      <c r="B856" s="14"/>
      <c r="C856" s="13"/>
    </row>
    <row r="857" ht="15.75" customHeight="1">
      <c r="A857" s="14"/>
      <c r="B857" s="14"/>
      <c r="C857" s="13"/>
    </row>
    <row r="858" ht="15.75" customHeight="1">
      <c r="A858" s="14"/>
      <c r="B858" s="14"/>
      <c r="C858" s="13"/>
    </row>
    <row r="859" ht="15.75" customHeight="1">
      <c r="A859" s="14"/>
      <c r="B859" s="14"/>
      <c r="C859" s="13"/>
    </row>
    <row r="860" ht="15.75" customHeight="1">
      <c r="A860" s="14"/>
      <c r="B860" s="14"/>
      <c r="C860" s="13"/>
    </row>
    <row r="861" ht="15.75" customHeight="1">
      <c r="A861" s="14"/>
      <c r="B861" s="14"/>
      <c r="C861" s="13"/>
    </row>
    <row r="862" ht="15.75" customHeight="1">
      <c r="A862" s="14"/>
      <c r="B862" s="14"/>
      <c r="C862" s="13"/>
    </row>
    <row r="863" ht="15.75" customHeight="1">
      <c r="A863" s="14"/>
      <c r="B863" s="14"/>
      <c r="C863" s="13"/>
    </row>
    <row r="864" ht="15.75" customHeight="1">
      <c r="A864" s="14"/>
      <c r="B864" s="14"/>
      <c r="C864" s="13"/>
    </row>
    <row r="865" ht="15.75" customHeight="1">
      <c r="A865" s="14"/>
      <c r="B865" s="14"/>
      <c r="C865" s="13"/>
    </row>
    <row r="866" ht="15.75" customHeight="1">
      <c r="A866" s="14"/>
      <c r="B866" s="14"/>
      <c r="C866" s="13"/>
    </row>
    <row r="867" ht="15.75" customHeight="1">
      <c r="A867" s="14"/>
      <c r="B867" s="14"/>
      <c r="C867" s="13"/>
    </row>
    <row r="868" ht="15.75" customHeight="1">
      <c r="A868" s="14"/>
      <c r="B868" s="14"/>
      <c r="C868" s="13"/>
    </row>
    <row r="869" ht="15.75" customHeight="1">
      <c r="A869" s="14"/>
      <c r="B869" s="14"/>
      <c r="C869" s="13"/>
    </row>
    <row r="870" ht="15.75" customHeight="1">
      <c r="A870" s="14"/>
      <c r="B870" s="14"/>
      <c r="C870" s="13"/>
    </row>
    <row r="871" ht="15.75" customHeight="1">
      <c r="A871" s="14"/>
      <c r="B871" s="14"/>
      <c r="C871" s="13"/>
    </row>
    <row r="872" ht="15.75" customHeight="1">
      <c r="A872" s="14"/>
      <c r="B872" s="14"/>
      <c r="C872" s="13"/>
    </row>
    <row r="873" ht="15.75" customHeight="1">
      <c r="A873" s="14"/>
      <c r="B873" s="14"/>
      <c r="C873" s="13"/>
    </row>
    <row r="874" ht="15.75" customHeight="1">
      <c r="A874" s="14"/>
      <c r="B874" s="14"/>
      <c r="C874" s="13"/>
    </row>
    <row r="875" ht="15.75" customHeight="1">
      <c r="A875" s="14"/>
      <c r="B875" s="14"/>
      <c r="C875" s="13"/>
    </row>
    <row r="876" ht="15.75" customHeight="1">
      <c r="A876" s="14"/>
      <c r="B876" s="14"/>
      <c r="C876" s="13"/>
    </row>
    <row r="877" ht="15.75" customHeight="1">
      <c r="A877" s="14"/>
      <c r="B877" s="14"/>
      <c r="C877" s="13"/>
    </row>
    <row r="878" ht="15.75" customHeight="1">
      <c r="A878" s="14"/>
      <c r="B878" s="14"/>
      <c r="C878" s="13"/>
    </row>
    <row r="879" ht="15.75" customHeight="1">
      <c r="A879" s="14"/>
      <c r="B879" s="14"/>
      <c r="C879" s="13"/>
    </row>
    <row r="880" ht="15.75" customHeight="1">
      <c r="A880" s="14"/>
      <c r="B880" s="14"/>
      <c r="C880" s="13"/>
    </row>
    <row r="881" ht="15.75" customHeight="1">
      <c r="A881" s="14"/>
      <c r="B881" s="14"/>
      <c r="C881" s="13"/>
    </row>
    <row r="882" ht="15.75" customHeight="1">
      <c r="A882" s="14"/>
      <c r="B882" s="14"/>
      <c r="C882" s="13"/>
    </row>
    <row r="883" ht="15.75" customHeight="1">
      <c r="A883" s="14"/>
      <c r="B883" s="14"/>
      <c r="C883" s="13"/>
    </row>
    <row r="884" ht="15.75" customHeight="1">
      <c r="A884" s="14"/>
      <c r="B884" s="14"/>
      <c r="C884" s="13"/>
    </row>
    <row r="885" ht="15.75" customHeight="1">
      <c r="A885" s="14"/>
      <c r="B885" s="14"/>
      <c r="C885" s="13"/>
    </row>
    <row r="886" ht="15.75" customHeight="1">
      <c r="A886" s="14"/>
      <c r="B886" s="14"/>
      <c r="C886" s="13"/>
    </row>
    <row r="887" ht="15.75" customHeight="1">
      <c r="A887" s="14"/>
      <c r="B887" s="14"/>
      <c r="C887" s="13"/>
    </row>
    <row r="888" ht="15.75" customHeight="1">
      <c r="A888" s="14"/>
      <c r="B888" s="14"/>
      <c r="C888" s="13"/>
    </row>
    <row r="889" ht="15.75" customHeight="1">
      <c r="A889" s="14"/>
      <c r="B889" s="14"/>
      <c r="C889" s="13"/>
    </row>
    <row r="890" ht="15.75" customHeight="1">
      <c r="A890" s="14"/>
      <c r="B890" s="14"/>
      <c r="C890" s="13"/>
    </row>
    <row r="891" ht="15.75" customHeight="1">
      <c r="A891" s="14"/>
      <c r="B891" s="14"/>
      <c r="C891" s="13"/>
    </row>
    <row r="892" ht="15.75" customHeight="1">
      <c r="A892" s="14"/>
      <c r="B892" s="14"/>
      <c r="C892" s="13"/>
    </row>
    <row r="893" ht="15.75" customHeight="1">
      <c r="A893" s="14"/>
      <c r="B893" s="14"/>
      <c r="C893" s="13"/>
    </row>
    <row r="894" ht="15.75" customHeight="1">
      <c r="A894" s="14"/>
      <c r="B894" s="14"/>
      <c r="C894" s="13"/>
    </row>
    <row r="895" ht="15.75" customHeight="1">
      <c r="A895" s="14"/>
      <c r="B895" s="14"/>
      <c r="C895" s="13"/>
    </row>
    <row r="896" ht="15.75" customHeight="1">
      <c r="A896" s="14"/>
      <c r="B896" s="14"/>
      <c r="C896" s="13"/>
    </row>
    <row r="897" ht="15.75" customHeight="1">
      <c r="A897" s="14"/>
      <c r="B897" s="14"/>
      <c r="C897" s="13"/>
    </row>
    <row r="898" ht="15.75" customHeight="1">
      <c r="A898" s="14"/>
      <c r="B898" s="14"/>
      <c r="C898" s="13"/>
    </row>
    <row r="899" ht="15.75" customHeight="1">
      <c r="A899" s="14"/>
      <c r="B899" s="14"/>
      <c r="C899" s="13"/>
    </row>
    <row r="900" ht="15.75" customHeight="1">
      <c r="A900" s="14"/>
      <c r="B900" s="14"/>
      <c r="C900" s="13"/>
    </row>
    <row r="901" ht="15.75" customHeight="1">
      <c r="A901" s="14"/>
      <c r="B901" s="14"/>
      <c r="C901" s="13"/>
    </row>
    <row r="902" ht="15.75" customHeight="1">
      <c r="A902" s="14"/>
      <c r="B902" s="14"/>
      <c r="C902" s="13"/>
    </row>
    <row r="903" ht="15.75" customHeight="1">
      <c r="A903" s="14"/>
      <c r="B903" s="14"/>
      <c r="C903" s="13"/>
    </row>
    <row r="904" ht="15.75" customHeight="1">
      <c r="A904" s="14"/>
      <c r="B904" s="14"/>
      <c r="C904" s="13"/>
    </row>
    <row r="905" ht="15.75" customHeight="1">
      <c r="A905" s="14"/>
      <c r="B905" s="14"/>
      <c r="C905" s="13"/>
    </row>
    <row r="906" ht="15.75" customHeight="1">
      <c r="A906" s="14"/>
      <c r="B906" s="14"/>
      <c r="C906" s="13"/>
    </row>
    <row r="907" ht="15.75" customHeight="1">
      <c r="A907" s="14"/>
      <c r="B907" s="14"/>
      <c r="C907" s="13"/>
    </row>
    <row r="908" ht="15.75" customHeight="1">
      <c r="A908" s="14"/>
      <c r="B908" s="14"/>
      <c r="C908" s="13"/>
    </row>
    <row r="909" ht="15.75" customHeight="1">
      <c r="A909" s="14"/>
      <c r="B909" s="14"/>
      <c r="C909" s="13"/>
    </row>
    <row r="910" ht="15.75" customHeight="1">
      <c r="A910" s="14"/>
      <c r="B910" s="14"/>
      <c r="C910" s="13"/>
    </row>
    <row r="911" ht="15.75" customHeight="1">
      <c r="A911" s="14"/>
      <c r="B911" s="14"/>
      <c r="C911" s="13"/>
    </row>
    <row r="912" ht="15.75" customHeight="1">
      <c r="A912" s="14"/>
      <c r="B912" s="14"/>
      <c r="C912" s="13"/>
    </row>
    <row r="913" ht="15.75" customHeight="1">
      <c r="A913" s="14"/>
      <c r="B913" s="14"/>
      <c r="C913" s="13"/>
    </row>
    <row r="914" ht="15.75" customHeight="1">
      <c r="A914" s="14"/>
      <c r="B914" s="14"/>
      <c r="C914" s="13"/>
    </row>
    <row r="915" ht="15.75" customHeight="1">
      <c r="A915" s="14"/>
      <c r="B915" s="14"/>
      <c r="C915" s="13"/>
    </row>
    <row r="916" ht="15.75" customHeight="1">
      <c r="A916" s="14"/>
      <c r="B916" s="14"/>
      <c r="C916" s="13"/>
    </row>
    <row r="917" ht="15.75" customHeight="1">
      <c r="A917" s="14"/>
      <c r="B917" s="14"/>
      <c r="C917" s="13"/>
    </row>
    <row r="918" ht="15.75" customHeight="1">
      <c r="A918" s="14"/>
      <c r="B918" s="14"/>
      <c r="C918" s="13"/>
    </row>
    <row r="919" ht="15.75" customHeight="1">
      <c r="A919" s="14"/>
      <c r="B919" s="14"/>
      <c r="C919" s="13"/>
    </row>
    <row r="920" ht="15.75" customHeight="1">
      <c r="A920" s="14"/>
      <c r="B920" s="14"/>
      <c r="C920" s="13"/>
    </row>
    <row r="921" ht="15.75" customHeight="1">
      <c r="A921" s="14"/>
      <c r="B921" s="14"/>
      <c r="C921" s="13"/>
    </row>
    <row r="922" ht="15.75" customHeight="1">
      <c r="A922" s="14"/>
      <c r="B922" s="14"/>
      <c r="C922" s="13"/>
    </row>
    <row r="923" ht="15.75" customHeight="1">
      <c r="A923" s="14"/>
      <c r="B923" s="14"/>
      <c r="C923" s="13"/>
    </row>
    <row r="924" ht="15.75" customHeight="1">
      <c r="A924" s="14"/>
      <c r="B924" s="14"/>
      <c r="C924" s="13"/>
    </row>
    <row r="925" ht="15.75" customHeight="1">
      <c r="A925" s="14"/>
      <c r="B925" s="14"/>
      <c r="C925" s="13"/>
    </row>
    <row r="926" ht="15.75" customHeight="1">
      <c r="A926" s="14"/>
      <c r="B926" s="14"/>
      <c r="C926" s="13"/>
    </row>
    <row r="927" ht="15.75" customHeight="1">
      <c r="A927" s="14"/>
      <c r="B927" s="14"/>
      <c r="C927" s="13"/>
    </row>
    <row r="928" ht="15.75" customHeight="1">
      <c r="A928" s="14"/>
      <c r="B928" s="14"/>
      <c r="C928" s="13"/>
    </row>
    <row r="929" ht="15.75" customHeight="1">
      <c r="A929" s="14"/>
      <c r="B929" s="14"/>
      <c r="C929" s="13"/>
    </row>
    <row r="930" ht="15.75" customHeight="1">
      <c r="A930" s="14"/>
      <c r="B930" s="14"/>
      <c r="C930" s="13"/>
    </row>
    <row r="931" ht="15.75" customHeight="1">
      <c r="A931" s="14"/>
      <c r="B931" s="14"/>
      <c r="C931" s="13"/>
    </row>
    <row r="932" ht="15.75" customHeight="1">
      <c r="A932" s="14"/>
      <c r="B932" s="14"/>
      <c r="C932" s="13"/>
    </row>
    <row r="933" ht="15.75" customHeight="1">
      <c r="A933" s="14"/>
      <c r="B933" s="14"/>
      <c r="C933" s="13"/>
    </row>
    <row r="934" ht="15.75" customHeight="1">
      <c r="A934" s="14"/>
      <c r="B934" s="14"/>
      <c r="C934" s="13"/>
    </row>
    <row r="935" ht="15.75" customHeight="1">
      <c r="A935" s="14"/>
      <c r="B935" s="14"/>
      <c r="C935" s="13"/>
    </row>
    <row r="936" ht="15.75" customHeight="1">
      <c r="A936" s="14"/>
      <c r="B936" s="14"/>
      <c r="C936" s="13"/>
    </row>
    <row r="937" ht="15.75" customHeight="1">
      <c r="A937" s="14"/>
      <c r="B937" s="14"/>
      <c r="C937" s="13"/>
    </row>
    <row r="938" ht="15.75" customHeight="1">
      <c r="A938" s="14"/>
      <c r="B938" s="14"/>
      <c r="C938" s="13"/>
    </row>
    <row r="939" ht="15.75" customHeight="1">
      <c r="A939" s="14"/>
      <c r="B939" s="14"/>
      <c r="C939" s="13"/>
    </row>
    <row r="940" ht="15.75" customHeight="1">
      <c r="A940" s="14"/>
      <c r="B940" s="14"/>
      <c r="C940" s="13"/>
    </row>
    <row r="941" ht="15.75" customHeight="1">
      <c r="A941" s="14"/>
      <c r="B941" s="14"/>
      <c r="C941" s="13"/>
    </row>
    <row r="942" ht="15.75" customHeight="1">
      <c r="A942" s="14"/>
      <c r="B942" s="14"/>
      <c r="C942" s="13"/>
    </row>
    <row r="943" ht="15.75" customHeight="1">
      <c r="A943" s="14"/>
      <c r="B943" s="14"/>
      <c r="C943" s="13"/>
    </row>
    <row r="944" ht="15.75" customHeight="1">
      <c r="A944" s="14"/>
      <c r="B944" s="14"/>
      <c r="C944" s="13"/>
    </row>
    <row r="945" ht="15.75" customHeight="1">
      <c r="A945" s="14"/>
      <c r="B945" s="14"/>
      <c r="C945" s="13"/>
    </row>
    <row r="946" ht="15.75" customHeight="1">
      <c r="A946" s="14"/>
      <c r="B946" s="14"/>
      <c r="C946" s="13"/>
    </row>
    <row r="947" ht="15.75" customHeight="1">
      <c r="A947" s="14"/>
      <c r="B947" s="14"/>
      <c r="C947" s="13"/>
    </row>
    <row r="948" ht="15.75" customHeight="1">
      <c r="A948" s="14"/>
      <c r="B948" s="14"/>
      <c r="C948" s="13"/>
    </row>
    <row r="949" ht="15.75" customHeight="1">
      <c r="A949" s="14"/>
      <c r="B949" s="14"/>
      <c r="C949" s="13"/>
    </row>
    <row r="950" ht="15.75" customHeight="1">
      <c r="A950" s="14"/>
      <c r="B950" s="14"/>
      <c r="C950" s="13"/>
    </row>
    <row r="951" ht="15.75" customHeight="1">
      <c r="A951" s="14"/>
      <c r="B951" s="14"/>
      <c r="C951" s="13"/>
    </row>
    <row r="952" ht="15.75" customHeight="1">
      <c r="A952" s="14"/>
      <c r="B952" s="14"/>
      <c r="C952" s="13"/>
    </row>
    <row r="953" ht="15.75" customHeight="1">
      <c r="A953" s="14"/>
      <c r="B953" s="14"/>
      <c r="C953" s="13"/>
    </row>
    <row r="954" ht="15.75" customHeight="1">
      <c r="A954" s="14"/>
      <c r="B954" s="14"/>
      <c r="C954" s="13"/>
    </row>
    <row r="955" ht="15.75" customHeight="1">
      <c r="A955" s="14"/>
      <c r="B955" s="14"/>
      <c r="C955" s="13"/>
    </row>
    <row r="956" ht="15.75" customHeight="1">
      <c r="A956" s="14"/>
      <c r="B956" s="14"/>
      <c r="C956" s="13"/>
    </row>
    <row r="957" ht="15.75" customHeight="1">
      <c r="A957" s="14"/>
      <c r="B957" s="14"/>
      <c r="C957" s="13"/>
    </row>
    <row r="958" ht="15.75" customHeight="1">
      <c r="A958" s="14"/>
      <c r="B958" s="14"/>
      <c r="C958" s="13"/>
    </row>
    <row r="959" ht="15.75" customHeight="1">
      <c r="A959" s="14"/>
      <c r="B959" s="14"/>
      <c r="C959" s="13"/>
    </row>
    <row r="960" ht="15.75" customHeight="1">
      <c r="A960" s="14"/>
      <c r="B960" s="14"/>
      <c r="C960" s="13"/>
    </row>
    <row r="961" ht="15.75" customHeight="1">
      <c r="A961" s="14"/>
      <c r="B961" s="14"/>
      <c r="C961" s="13"/>
    </row>
    <row r="962" ht="15.75" customHeight="1">
      <c r="A962" s="14"/>
      <c r="B962" s="14"/>
      <c r="C962" s="13"/>
    </row>
    <row r="963" ht="15.75" customHeight="1">
      <c r="A963" s="14"/>
      <c r="B963" s="14"/>
      <c r="C963" s="13"/>
    </row>
    <row r="964" ht="15.75" customHeight="1">
      <c r="A964" s="14"/>
      <c r="B964" s="14"/>
      <c r="C964" s="13"/>
    </row>
    <row r="965" ht="15.75" customHeight="1">
      <c r="A965" s="14"/>
      <c r="B965" s="14"/>
      <c r="C965" s="13"/>
    </row>
    <row r="966" ht="15.75" customHeight="1">
      <c r="A966" s="14"/>
      <c r="B966" s="14"/>
      <c r="C966" s="13"/>
    </row>
    <row r="967" ht="15.75" customHeight="1">
      <c r="A967" s="14"/>
      <c r="B967" s="14"/>
      <c r="C967" s="13"/>
    </row>
    <row r="968" ht="15.75" customHeight="1">
      <c r="A968" s="14"/>
      <c r="B968" s="14"/>
      <c r="C968" s="13"/>
    </row>
    <row r="969" ht="15.75" customHeight="1">
      <c r="A969" s="14"/>
      <c r="B969" s="14"/>
      <c r="C969" s="13"/>
    </row>
    <row r="970" ht="15.75" customHeight="1">
      <c r="A970" s="14"/>
      <c r="B970" s="14"/>
      <c r="C970" s="13"/>
    </row>
    <row r="971" ht="15.75" customHeight="1">
      <c r="A971" s="14"/>
      <c r="B971" s="14"/>
      <c r="C971" s="13"/>
    </row>
    <row r="972" ht="15.75" customHeight="1">
      <c r="A972" s="14"/>
      <c r="B972" s="14"/>
      <c r="C972" s="13"/>
    </row>
    <row r="973" ht="15.75" customHeight="1">
      <c r="A973" s="14"/>
      <c r="B973" s="14"/>
      <c r="C973" s="13"/>
    </row>
    <row r="974" ht="15.75" customHeight="1">
      <c r="A974" s="14"/>
      <c r="B974" s="14"/>
      <c r="C974" s="13"/>
    </row>
    <row r="975" ht="15.75" customHeight="1">
      <c r="A975" s="14"/>
      <c r="B975" s="14"/>
      <c r="C975" s="13"/>
    </row>
    <row r="976" ht="15.75" customHeight="1">
      <c r="A976" s="14"/>
      <c r="B976" s="14"/>
      <c r="C976" s="13"/>
    </row>
    <row r="977" ht="15.75" customHeight="1">
      <c r="A977" s="14"/>
      <c r="B977" s="14"/>
      <c r="C977" s="13"/>
    </row>
    <row r="978" ht="15.75" customHeight="1">
      <c r="A978" s="14"/>
      <c r="B978" s="14"/>
      <c r="C978" s="13"/>
    </row>
    <row r="979" ht="15.75" customHeight="1">
      <c r="A979" s="14"/>
      <c r="B979" s="14"/>
      <c r="C979" s="13"/>
    </row>
    <row r="980" ht="15.75" customHeight="1">
      <c r="A980" s="14"/>
      <c r="B980" s="14"/>
      <c r="C980" s="13"/>
    </row>
    <row r="981" ht="15.75" customHeight="1">
      <c r="A981" s="14"/>
      <c r="B981" s="14"/>
      <c r="C981" s="13"/>
    </row>
    <row r="982" ht="15.75" customHeight="1">
      <c r="A982" s="14"/>
      <c r="B982" s="14"/>
      <c r="C982" s="13"/>
    </row>
    <row r="983" ht="15.75" customHeight="1">
      <c r="A983" s="14"/>
      <c r="B983" s="14"/>
      <c r="C983" s="13"/>
    </row>
    <row r="984" ht="15.75" customHeight="1">
      <c r="A984" s="14"/>
      <c r="B984" s="14"/>
      <c r="C984" s="13"/>
    </row>
    <row r="985" ht="15.75" customHeight="1">
      <c r="A985" s="14"/>
      <c r="B985" s="14"/>
      <c r="C985" s="13"/>
    </row>
    <row r="986" ht="15.75" customHeight="1">
      <c r="A986" s="14"/>
      <c r="B986" s="14"/>
      <c r="C986" s="13"/>
    </row>
    <row r="987" ht="15.75" customHeight="1">
      <c r="A987" s="14"/>
      <c r="B987" s="14"/>
      <c r="C987" s="13"/>
    </row>
    <row r="988" ht="15.75" customHeight="1">
      <c r="A988" s="14"/>
      <c r="B988" s="14"/>
      <c r="C988" s="13"/>
    </row>
    <row r="989" ht="15.75" customHeight="1">
      <c r="A989" s="14"/>
      <c r="B989" s="14"/>
      <c r="C989" s="13"/>
    </row>
    <row r="990" ht="15.75" customHeight="1">
      <c r="A990" s="14"/>
      <c r="B990" s="14"/>
      <c r="C990" s="13"/>
    </row>
    <row r="991" ht="15.75" customHeight="1">
      <c r="A991" s="14"/>
      <c r="B991" s="14"/>
      <c r="C991" s="13"/>
    </row>
    <row r="992" ht="15.75" customHeight="1">
      <c r="A992" s="14"/>
      <c r="B992" s="14"/>
      <c r="C992" s="13"/>
    </row>
    <row r="993" ht="15.75" customHeight="1">
      <c r="A993" s="14"/>
      <c r="B993" s="14"/>
      <c r="C993" s="13"/>
    </row>
    <row r="994" ht="15.75" customHeight="1">
      <c r="A994" s="14"/>
      <c r="B994" s="14"/>
      <c r="C994" s="13"/>
    </row>
    <row r="995" ht="15.75" customHeight="1">
      <c r="A995" s="14"/>
      <c r="B995" s="14"/>
      <c r="C995" s="13"/>
    </row>
    <row r="996" ht="15.75" customHeight="1">
      <c r="A996" s="14"/>
      <c r="B996" s="14"/>
      <c r="C996" s="13"/>
    </row>
    <row r="997" ht="15.75" customHeight="1">
      <c r="A997" s="14"/>
      <c r="B997" s="14"/>
      <c r="C997" s="13"/>
    </row>
    <row r="998" ht="15.75" customHeight="1">
      <c r="A998" s="14"/>
      <c r="B998" s="14"/>
      <c r="C998" s="13"/>
    </row>
    <row r="999" ht="15.75" customHeight="1">
      <c r="A999" s="14"/>
      <c r="B999" s="14"/>
      <c r="C999" s="13"/>
    </row>
    <row r="1000" ht="15.75" customHeight="1">
      <c r="A1000" s="14"/>
      <c r="B1000" s="14"/>
      <c r="C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6.71"/>
    <col customWidth="1" min="3" max="3" width="48.71"/>
    <col customWidth="1" min="4" max="26" width="8.71"/>
  </cols>
  <sheetData>
    <row r="1">
      <c r="A1" s="5" t="s">
        <v>38</v>
      </c>
      <c r="B1" s="5" t="s">
        <v>24</v>
      </c>
      <c r="C1" s="5" t="s">
        <v>39</v>
      </c>
    </row>
    <row r="2">
      <c r="A2" s="14" t="s">
        <v>40</v>
      </c>
      <c r="B2" s="10">
        <v>1.4</v>
      </c>
      <c r="C2" s="15" t="s">
        <v>41</v>
      </c>
    </row>
    <row r="3">
      <c r="A3" s="14"/>
      <c r="B3" s="11"/>
      <c r="C3" s="13"/>
    </row>
    <row r="4">
      <c r="A4" s="14"/>
      <c r="B4" s="11"/>
      <c r="C4" s="13"/>
    </row>
    <row r="5">
      <c r="A5" s="14"/>
      <c r="B5" s="11"/>
      <c r="C5" s="13"/>
    </row>
    <row r="6">
      <c r="A6" s="14"/>
      <c r="B6" s="11"/>
      <c r="C6" s="13"/>
    </row>
    <row r="7">
      <c r="A7" s="14"/>
      <c r="B7" s="11"/>
      <c r="C7" s="13"/>
    </row>
    <row r="8">
      <c r="A8" s="14"/>
      <c r="B8" s="11"/>
      <c r="C8" s="13"/>
    </row>
    <row r="9">
      <c r="A9" s="14"/>
      <c r="B9" s="11"/>
      <c r="C9" s="13"/>
    </row>
    <row r="10">
      <c r="A10" s="14"/>
      <c r="B10" s="11"/>
      <c r="C10" s="13"/>
    </row>
    <row r="11">
      <c r="A11" s="14"/>
      <c r="B11" s="11"/>
      <c r="C11" s="13"/>
    </row>
    <row r="12">
      <c r="A12" s="14"/>
      <c r="B12" s="11"/>
      <c r="C12" s="13"/>
    </row>
    <row r="13">
      <c r="A13" s="14"/>
      <c r="B13" s="11"/>
      <c r="C13" s="13"/>
    </row>
    <row r="14">
      <c r="A14" s="14"/>
      <c r="B14" s="11"/>
      <c r="C14" s="13"/>
    </row>
    <row r="15">
      <c r="A15" s="14"/>
      <c r="B15" s="11"/>
      <c r="C15" s="13"/>
    </row>
    <row r="16">
      <c r="A16" s="14"/>
      <c r="B16" s="11"/>
      <c r="C16" s="13"/>
    </row>
    <row r="17">
      <c r="A17" s="14"/>
      <c r="B17" s="11"/>
      <c r="C17" s="13"/>
    </row>
    <row r="18">
      <c r="A18" s="14"/>
      <c r="B18" s="11"/>
      <c r="C18" s="13"/>
    </row>
    <row r="19">
      <c r="A19" s="14"/>
      <c r="B19" s="11"/>
      <c r="C19" s="13"/>
    </row>
    <row r="20" ht="15.75" customHeight="1">
      <c r="A20" s="14"/>
      <c r="B20" s="11"/>
      <c r="C20" s="13"/>
    </row>
    <row r="21" ht="15.75" customHeight="1">
      <c r="A21" s="14"/>
      <c r="B21" s="11"/>
      <c r="C21" s="13"/>
    </row>
    <row r="22" ht="15.75" customHeight="1">
      <c r="A22" s="14"/>
      <c r="B22" s="11"/>
      <c r="C22" s="13"/>
    </row>
    <row r="23" ht="15.75" customHeight="1">
      <c r="A23" s="14"/>
      <c r="B23" s="11"/>
      <c r="C23" s="13"/>
    </row>
    <row r="24" ht="15.75" customHeight="1">
      <c r="A24" s="14"/>
      <c r="B24" s="11"/>
      <c r="C24" s="13"/>
    </row>
    <row r="25" ht="15.75" customHeight="1">
      <c r="A25" s="14"/>
      <c r="B25" s="11"/>
      <c r="C25" s="13"/>
    </row>
    <row r="26" ht="15.75" customHeight="1">
      <c r="A26" s="14"/>
      <c r="B26" s="11"/>
      <c r="C26" s="13"/>
    </row>
    <row r="27" ht="15.75" customHeight="1">
      <c r="A27" s="14"/>
      <c r="B27" s="11"/>
      <c r="C27" s="13"/>
    </row>
    <row r="28" ht="15.75" customHeight="1">
      <c r="A28" s="14"/>
      <c r="B28" s="11"/>
      <c r="C28" s="13"/>
    </row>
    <row r="29" ht="15.75" customHeight="1">
      <c r="A29" s="14"/>
      <c r="B29" s="11"/>
      <c r="C29" s="13"/>
    </row>
    <row r="30" ht="15.75" customHeight="1">
      <c r="A30" s="14"/>
      <c r="B30" s="11"/>
      <c r="C30" s="13"/>
    </row>
    <row r="31" ht="15.75" customHeight="1">
      <c r="A31" s="14"/>
      <c r="B31" s="11"/>
      <c r="C31" s="13"/>
    </row>
    <row r="32" ht="15.75" customHeight="1">
      <c r="A32" s="14"/>
      <c r="B32" s="11"/>
      <c r="C32" s="13"/>
    </row>
    <row r="33" ht="15.75" customHeight="1">
      <c r="A33" s="14"/>
      <c r="B33" s="11"/>
      <c r="C33" s="13"/>
    </row>
    <row r="34" ht="15.75" customHeight="1">
      <c r="A34" s="14"/>
      <c r="B34" s="11"/>
      <c r="C34" s="13"/>
    </row>
    <row r="35" ht="15.75" customHeight="1">
      <c r="A35" s="14"/>
      <c r="B35" s="11"/>
      <c r="C35" s="13"/>
    </row>
    <row r="36" ht="15.75" customHeight="1">
      <c r="A36" s="14"/>
      <c r="B36" s="11"/>
      <c r="C36" s="13"/>
    </row>
    <row r="37" ht="15.75" customHeight="1">
      <c r="A37" s="14"/>
      <c r="B37" s="11"/>
      <c r="C37" s="13"/>
    </row>
    <row r="38" ht="15.75" customHeight="1">
      <c r="A38" s="14"/>
      <c r="B38" s="11"/>
      <c r="C38" s="13"/>
    </row>
    <row r="39" ht="15.75" customHeight="1">
      <c r="A39" s="14"/>
      <c r="B39" s="11"/>
      <c r="C39" s="13"/>
    </row>
    <row r="40" ht="15.75" customHeight="1">
      <c r="A40" s="14"/>
      <c r="B40" s="11"/>
      <c r="C40" s="13"/>
    </row>
    <row r="41" ht="15.75" customHeight="1">
      <c r="A41" s="14"/>
      <c r="B41" s="11"/>
      <c r="C41" s="13"/>
    </row>
    <row r="42" ht="15.75" customHeight="1">
      <c r="A42" s="14"/>
      <c r="B42" s="11"/>
      <c r="C42" s="13"/>
    </row>
    <row r="43" ht="15.75" customHeight="1">
      <c r="A43" s="14"/>
      <c r="B43" s="11"/>
      <c r="C43" s="13"/>
    </row>
    <row r="44" ht="15.75" customHeight="1">
      <c r="A44" s="14"/>
      <c r="B44" s="11"/>
      <c r="C44" s="13"/>
    </row>
    <row r="45" ht="15.75" customHeight="1">
      <c r="A45" s="14"/>
      <c r="B45" s="11"/>
      <c r="C45" s="13"/>
    </row>
    <row r="46" ht="15.75" customHeight="1">
      <c r="A46" s="14"/>
      <c r="B46" s="11"/>
      <c r="C46" s="13"/>
    </row>
    <row r="47" ht="15.75" customHeight="1">
      <c r="A47" s="14"/>
      <c r="B47" s="11"/>
      <c r="C47" s="13"/>
    </row>
    <row r="48" ht="15.75" customHeight="1">
      <c r="A48" s="14"/>
      <c r="B48" s="11"/>
      <c r="C48" s="13"/>
    </row>
    <row r="49" ht="15.75" customHeight="1">
      <c r="A49" s="14"/>
      <c r="B49" s="11"/>
      <c r="C49" s="13"/>
    </row>
    <row r="50" ht="15.75" customHeight="1">
      <c r="A50" s="14"/>
      <c r="B50" s="11"/>
      <c r="C50" s="13"/>
    </row>
    <row r="51" ht="15.75" customHeight="1">
      <c r="A51" s="14"/>
      <c r="B51" s="11"/>
      <c r="C51" s="13"/>
    </row>
    <row r="52" ht="15.75" customHeight="1">
      <c r="A52" s="14"/>
      <c r="B52" s="11"/>
      <c r="C52" s="13"/>
    </row>
    <row r="53" ht="15.75" customHeight="1">
      <c r="A53" s="14"/>
      <c r="B53" s="11"/>
      <c r="C53" s="13"/>
    </row>
    <row r="54" ht="15.75" customHeight="1">
      <c r="A54" s="14"/>
      <c r="B54" s="11"/>
      <c r="C54" s="13"/>
    </row>
    <row r="55" ht="15.75" customHeight="1">
      <c r="A55" s="14"/>
      <c r="B55" s="11"/>
      <c r="C55" s="13"/>
    </row>
    <row r="56" ht="15.75" customHeight="1">
      <c r="A56" s="14"/>
      <c r="B56" s="11"/>
      <c r="C56" s="13"/>
    </row>
    <row r="57" ht="15.75" customHeight="1">
      <c r="A57" s="14"/>
      <c r="B57" s="11"/>
      <c r="C57" s="13"/>
    </row>
    <row r="58" ht="15.75" customHeight="1">
      <c r="A58" s="14"/>
      <c r="B58" s="11"/>
      <c r="C58" s="13"/>
    </row>
    <row r="59" ht="15.75" customHeight="1">
      <c r="A59" s="14"/>
      <c r="B59" s="11"/>
      <c r="C59" s="13"/>
    </row>
    <row r="60" ht="15.75" customHeight="1">
      <c r="A60" s="14"/>
      <c r="B60" s="11"/>
      <c r="C60" s="13"/>
    </row>
    <row r="61" ht="15.75" customHeight="1">
      <c r="A61" s="14"/>
      <c r="B61" s="11"/>
      <c r="C61" s="13"/>
    </row>
    <row r="62" ht="15.75" customHeight="1">
      <c r="A62" s="14"/>
      <c r="B62" s="11"/>
      <c r="C62" s="13"/>
    </row>
    <row r="63" ht="15.75" customHeight="1">
      <c r="A63" s="14"/>
      <c r="B63" s="11"/>
      <c r="C63" s="13"/>
    </row>
    <row r="64" ht="15.75" customHeight="1">
      <c r="A64" s="14"/>
      <c r="B64" s="11"/>
      <c r="C64" s="13"/>
    </row>
    <row r="65" ht="15.75" customHeight="1">
      <c r="A65" s="14"/>
      <c r="B65" s="11"/>
      <c r="C65" s="13"/>
    </row>
    <row r="66" ht="15.75" customHeight="1">
      <c r="A66" s="14"/>
      <c r="B66" s="11"/>
      <c r="C66" s="13"/>
    </row>
    <row r="67" ht="15.75" customHeight="1">
      <c r="A67" s="14"/>
      <c r="B67" s="11"/>
      <c r="C67" s="13"/>
    </row>
    <row r="68" ht="15.75" customHeight="1">
      <c r="A68" s="14"/>
      <c r="B68" s="11"/>
      <c r="C68" s="13"/>
    </row>
    <row r="69" ht="15.75" customHeight="1">
      <c r="A69" s="14"/>
      <c r="B69" s="11"/>
      <c r="C69" s="13"/>
    </row>
    <row r="70" ht="15.75" customHeight="1">
      <c r="A70" s="14"/>
      <c r="B70" s="11"/>
      <c r="C70" s="13"/>
    </row>
    <row r="71" ht="15.75" customHeight="1">
      <c r="A71" s="14"/>
      <c r="B71" s="11"/>
      <c r="C71" s="13"/>
    </row>
    <row r="72" ht="15.75" customHeight="1">
      <c r="A72" s="14"/>
      <c r="B72" s="11"/>
      <c r="C72" s="13"/>
    </row>
    <row r="73" ht="15.75" customHeight="1">
      <c r="A73" s="14"/>
      <c r="B73" s="11"/>
      <c r="C73" s="13"/>
    </row>
    <row r="74" ht="15.75" customHeight="1">
      <c r="A74" s="14"/>
      <c r="B74" s="11"/>
      <c r="C74" s="13"/>
    </row>
    <row r="75" ht="15.75" customHeight="1">
      <c r="A75" s="14"/>
      <c r="B75" s="11"/>
      <c r="C75" s="13"/>
    </row>
    <row r="76" ht="15.75" customHeight="1">
      <c r="A76" s="14"/>
      <c r="B76" s="11"/>
      <c r="C76" s="13"/>
    </row>
    <row r="77" ht="15.75" customHeight="1">
      <c r="A77" s="14"/>
      <c r="B77" s="11"/>
      <c r="C77" s="13"/>
    </row>
    <row r="78" ht="15.75" customHeight="1">
      <c r="A78" s="14"/>
      <c r="B78" s="11"/>
      <c r="C78" s="13"/>
    </row>
    <row r="79" ht="15.75" customHeight="1">
      <c r="A79" s="14"/>
      <c r="B79" s="11"/>
      <c r="C79" s="13"/>
    </row>
    <row r="80" ht="15.75" customHeight="1">
      <c r="A80" s="14"/>
      <c r="B80" s="11"/>
      <c r="C80" s="13"/>
    </row>
    <row r="81" ht="15.75" customHeight="1">
      <c r="A81" s="14"/>
      <c r="B81" s="11"/>
      <c r="C81" s="13"/>
    </row>
    <row r="82" ht="15.75" customHeight="1">
      <c r="A82" s="14"/>
      <c r="B82" s="11"/>
      <c r="C82" s="13"/>
    </row>
    <row r="83" ht="15.75" customHeight="1">
      <c r="A83" s="14"/>
      <c r="B83" s="11"/>
      <c r="C83" s="13"/>
    </row>
    <row r="84" ht="15.75" customHeight="1">
      <c r="A84" s="14"/>
      <c r="B84" s="11"/>
      <c r="C84" s="13"/>
    </row>
    <row r="85" ht="15.75" customHeight="1">
      <c r="A85" s="14"/>
      <c r="B85" s="11"/>
      <c r="C85" s="13"/>
    </row>
    <row r="86" ht="15.75" customHeight="1">
      <c r="A86" s="14"/>
      <c r="B86" s="11"/>
      <c r="C86" s="13"/>
    </row>
    <row r="87" ht="15.75" customHeight="1">
      <c r="A87" s="14"/>
      <c r="B87" s="11"/>
      <c r="C87" s="13"/>
    </row>
    <row r="88" ht="15.75" customHeight="1">
      <c r="A88" s="14"/>
      <c r="B88" s="11"/>
      <c r="C88" s="13"/>
    </row>
    <row r="89" ht="15.75" customHeight="1">
      <c r="A89" s="14"/>
      <c r="B89" s="11"/>
      <c r="C89" s="13"/>
    </row>
    <row r="90" ht="15.75" customHeight="1">
      <c r="A90" s="14"/>
      <c r="B90" s="11"/>
      <c r="C90" s="13"/>
    </row>
    <row r="91" ht="15.75" customHeight="1">
      <c r="A91" s="14"/>
      <c r="B91" s="11"/>
      <c r="C91" s="13"/>
    </row>
    <row r="92" ht="15.75" customHeight="1">
      <c r="A92" s="14"/>
      <c r="B92" s="11"/>
      <c r="C92" s="13"/>
    </row>
    <row r="93" ht="15.75" customHeight="1">
      <c r="A93" s="14"/>
      <c r="B93" s="11"/>
      <c r="C93" s="13"/>
    </row>
    <row r="94" ht="15.75" customHeight="1">
      <c r="A94" s="14"/>
      <c r="B94" s="11"/>
      <c r="C94" s="13"/>
    </row>
    <row r="95" ht="15.75" customHeight="1">
      <c r="A95" s="14"/>
      <c r="B95" s="11"/>
      <c r="C95" s="13"/>
    </row>
    <row r="96" ht="15.75" customHeight="1">
      <c r="A96" s="14"/>
      <c r="B96" s="11"/>
      <c r="C96" s="13"/>
    </row>
    <row r="97" ht="15.75" customHeight="1">
      <c r="A97" s="14"/>
      <c r="B97" s="11"/>
      <c r="C97" s="13"/>
    </row>
    <row r="98" ht="15.75" customHeight="1">
      <c r="A98" s="14"/>
      <c r="B98" s="11"/>
      <c r="C98" s="13"/>
    </row>
    <row r="99" ht="15.75" customHeight="1">
      <c r="A99" s="14"/>
      <c r="B99" s="11"/>
      <c r="C99" s="13"/>
    </row>
    <row r="100" ht="15.75" customHeight="1">
      <c r="A100" s="14"/>
      <c r="B100" s="11"/>
      <c r="C100" s="13"/>
    </row>
    <row r="101" ht="15.75" customHeight="1">
      <c r="A101" s="14"/>
      <c r="B101" s="11"/>
      <c r="C101" s="13"/>
    </row>
    <row r="102" ht="15.75" customHeight="1">
      <c r="A102" s="14"/>
      <c r="B102" s="11"/>
      <c r="C102" s="13"/>
    </row>
    <row r="103" ht="15.75" customHeight="1">
      <c r="A103" s="14"/>
      <c r="B103" s="11"/>
      <c r="C103" s="13"/>
    </row>
    <row r="104" ht="15.75" customHeight="1">
      <c r="A104" s="14"/>
      <c r="B104" s="11"/>
      <c r="C104" s="13"/>
    </row>
    <row r="105" ht="15.75" customHeight="1">
      <c r="A105" s="14"/>
      <c r="B105" s="11"/>
      <c r="C105" s="13"/>
    </row>
    <row r="106" ht="15.75" customHeight="1">
      <c r="A106" s="14"/>
      <c r="B106" s="11"/>
      <c r="C106" s="13"/>
    </row>
    <row r="107" ht="15.75" customHeight="1">
      <c r="A107" s="14"/>
      <c r="B107" s="11"/>
      <c r="C107" s="13"/>
    </row>
    <row r="108" ht="15.75" customHeight="1">
      <c r="A108" s="14"/>
      <c r="B108" s="11"/>
      <c r="C108" s="13"/>
    </row>
    <row r="109" ht="15.75" customHeight="1">
      <c r="A109" s="14"/>
      <c r="B109" s="11"/>
      <c r="C109" s="13"/>
    </row>
    <row r="110" ht="15.75" customHeight="1">
      <c r="A110" s="14"/>
      <c r="B110" s="11"/>
      <c r="C110" s="13"/>
    </row>
    <row r="111" ht="15.75" customHeight="1">
      <c r="A111" s="14"/>
      <c r="B111" s="11"/>
      <c r="C111" s="13"/>
    </row>
    <row r="112" ht="15.75" customHeight="1">
      <c r="A112" s="14"/>
      <c r="B112" s="11"/>
      <c r="C112" s="13"/>
    </row>
    <row r="113" ht="15.75" customHeight="1">
      <c r="A113" s="14"/>
      <c r="B113" s="11"/>
      <c r="C113" s="13"/>
    </row>
    <row r="114" ht="15.75" customHeight="1">
      <c r="A114" s="14"/>
      <c r="B114" s="11"/>
      <c r="C114" s="13"/>
    </row>
    <row r="115" ht="15.75" customHeight="1">
      <c r="A115" s="14"/>
      <c r="B115" s="11"/>
      <c r="C115" s="13"/>
    </row>
    <row r="116" ht="15.75" customHeight="1">
      <c r="A116" s="14"/>
      <c r="B116" s="11"/>
      <c r="C116" s="13"/>
    </row>
    <row r="117" ht="15.75" customHeight="1">
      <c r="A117" s="14"/>
      <c r="B117" s="11"/>
      <c r="C117" s="13"/>
    </row>
    <row r="118" ht="15.75" customHeight="1">
      <c r="A118" s="14"/>
      <c r="B118" s="11"/>
      <c r="C118" s="13"/>
    </row>
    <row r="119" ht="15.75" customHeight="1">
      <c r="A119" s="14"/>
      <c r="B119" s="11"/>
      <c r="C119" s="13"/>
    </row>
    <row r="120" ht="15.75" customHeight="1">
      <c r="A120" s="14"/>
      <c r="B120" s="11"/>
      <c r="C120" s="13"/>
    </row>
    <row r="121" ht="15.75" customHeight="1">
      <c r="A121" s="14"/>
      <c r="B121" s="11"/>
      <c r="C121" s="13"/>
    </row>
    <row r="122" ht="15.75" customHeight="1">
      <c r="A122" s="14"/>
      <c r="B122" s="11"/>
      <c r="C122" s="13"/>
    </row>
    <row r="123" ht="15.75" customHeight="1">
      <c r="A123" s="14"/>
      <c r="B123" s="11"/>
      <c r="C123" s="13"/>
    </row>
    <row r="124" ht="15.75" customHeight="1">
      <c r="A124" s="14"/>
      <c r="B124" s="11"/>
      <c r="C124" s="13"/>
    </row>
    <row r="125" ht="15.75" customHeight="1">
      <c r="A125" s="14"/>
      <c r="B125" s="11"/>
      <c r="C125" s="13"/>
    </row>
    <row r="126" ht="15.75" customHeight="1">
      <c r="A126" s="14"/>
      <c r="B126" s="11"/>
      <c r="C126" s="13"/>
    </row>
    <row r="127" ht="15.75" customHeight="1">
      <c r="A127" s="14"/>
      <c r="B127" s="11"/>
      <c r="C127" s="13"/>
    </row>
    <row r="128" ht="15.75" customHeight="1">
      <c r="A128" s="14"/>
      <c r="B128" s="11"/>
      <c r="C128" s="13"/>
    </row>
    <row r="129" ht="15.75" customHeight="1">
      <c r="A129" s="14"/>
      <c r="B129" s="11"/>
      <c r="C129" s="13"/>
    </row>
    <row r="130" ht="15.75" customHeight="1">
      <c r="A130" s="14"/>
      <c r="B130" s="11"/>
      <c r="C130" s="13"/>
    </row>
    <row r="131" ht="15.75" customHeight="1">
      <c r="A131" s="14"/>
      <c r="B131" s="11"/>
      <c r="C131" s="13"/>
    </row>
    <row r="132" ht="15.75" customHeight="1">
      <c r="A132" s="14"/>
      <c r="B132" s="11"/>
      <c r="C132" s="13"/>
    </row>
    <row r="133" ht="15.75" customHeight="1">
      <c r="A133" s="14"/>
      <c r="B133" s="11"/>
      <c r="C133" s="13"/>
    </row>
    <row r="134" ht="15.75" customHeight="1">
      <c r="A134" s="14"/>
      <c r="B134" s="11"/>
      <c r="C134" s="13"/>
    </row>
    <row r="135" ht="15.75" customHeight="1">
      <c r="A135" s="14"/>
      <c r="B135" s="11"/>
      <c r="C135" s="13"/>
    </row>
    <row r="136" ht="15.75" customHeight="1">
      <c r="A136" s="14"/>
      <c r="B136" s="11"/>
      <c r="C136" s="13"/>
    </row>
    <row r="137" ht="15.75" customHeight="1">
      <c r="A137" s="14"/>
      <c r="B137" s="11"/>
      <c r="C137" s="13"/>
    </row>
    <row r="138" ht="15.75" customHeight="1">
      <c r="A138" s="14"/>
      <c r="B138" s="11"/>
      <c r="C138" s="13"/>
    </row>
    <row r="139" ht="15.75" customHeight="1">
      <c r="A139" s="14"/>
      <c r="B139" s="11"/>
      <c r="C139" s="13"/>
    </row>
    <row r="140" ht="15.75" customHeight="1">
      <c r="A140" s="14"/>
      <c r="B140" s="11"/>
      <c r="C140" s="13"/>
    </row>
    <row r="141" ht="15.75" customHeight="1">
      <c r="A141" s="14"/>
      <c r="B141" s="11"/>
      <c r="C141" s="13"/>
    </row>
    <row r="142" ht="15.75" customHeight="1">
      <c r="A142" s="14"/>
      <c r="B142" s="11"/>
      <c r="C142" s="13"/>
    </row>
    <row r="143" ht="15.75" customHeight="1">
      <c r="A143" s="14"/>
      <c r="B143" s="11"/>
      <c r="C143" s="13"/>
    </row>
    <row r="144" ht="15.75" customHeight="1">
      <c r="A144" s="14"/>
      <c r="B144" s="11"/>
      <c r="C144" s="13"/>
    </row>
    <row r="145" ht="15.75" customHeight="1">
      <c r="A145" s="14"/>
      <c r="B145" s="11"/>
      <c r="C145" s="13"/>
    </row>
    <row r="146" ht="15.75" customHeight="1">
      <c r="A146" s="14"/>
      <c r="B146" s="11"/>
      <c r="C146" s="13"/>
    </row>
    <row r="147" ht="15.75" customHeight="1">
      <c r="A147" s="14"/>
      <c r="B147" s="11"/>
      <c r="C147" s="13"/>
    </row>
    <row r="148" ht="15.75" customHeight="1">
      <c r="A148" s="14"/>
      <c r="B148" s="11"/>
      <c r="C148" s="13"/>
    </row>
    <row r="149" ht="15.75" customHeight="1">
      <c r="A149" s="14"/>
      <c r="B149" s="11"/>
      <c r="C149" s="13"/>
    </row>
    <row r="150" ht="15.75" customHeight="1">
      <c r="A150" s="14"/>
      <c r="B150" s="11"/>
      <c r="C150" s="13"/>
    </row>
    <row r="151" ht="15.75" customHeight="1">
      <c r="A151" s="14"/>
      <c r="B151" s="11"/>
      <c r="C151" s="13"/>
    </row>
    <row r="152" ht="15.75" customHeight="1">
      <c r="A152" s="14"/>
      <c r="B152" s="11"/>
      <c r="C152" s="13"/>
    </row>
    <row r="153" ht="15.75" customHeight="1">
      <c r="A153" s="14"/>
      <c r="B153" s="11"/>
      <c r="C153" s="13"/>
    </row>
    <row r="154" ht="15.75" customHeight="1">
      <c r="A154" s="14"/>
      <c r="B154" s="11"/>
      <c r="C154" s="13"/>
    </row>
    <row r="155" ht="15.75" customHeight="1">
      <c r="A155" s="14"/>
      <c r="B155" s="11"/>
      <c r="C155" s="13"/>
    </row>
    <row r="156" ht="15.75" customHeight="1">
      <c r="A156" s="14"/>
      <c r="B156" s="11"/>
      <c r="C156" s="13"/>
    </row>
    <row r="157" ht="15.75" customHeight="1">
      <c r="A157" s="14"/>
      <c r="B157" s="11"/>
      <c r="C157" s="13"/>
    </row>
    <row r="158" ht="15.75" customHeight="1">
      <c r="A158" s="14"/>
      <c r="B158" s="11"/>
      <c r="C158" s="13"/>
    </row>
    <row r="159" ht="15.75" customHeight="1">
      <c r="A159" s="14"/>
      <c r="B159" s="11"/>
      <c r="C159" s="13"/>
    </row>
    <row r="160" ht="15.75" customHeight="1">
      <c r="A160" s="14"/>
      <c r="B160" s="11"/>
      <c r="C160" s="13"/>
    </row>
    <row r="161" ht="15.75" customHeight="1">
      <c r="A161" s="14"/>
      <c r="B161" s="11"/>
      <c r="C161" s="13"/>
    </row>
    <row r="162" ht="15.75" customHeight="1">
      <c r="A162" s="14"/>
      <c r="B162" s="11"/>
      <c r="C162" s="13"/>
    </row>
    <row r="163" ht="15.75" customHeight="1">
      <c r="A163" s="14"/>
      <c r="B163" s="11"/>
      <c r="C163" s="13"/>
    </row>
    <row r="164" ht="15.75" customHeight="1">
      <c r="A164" s="14"/>
      <c r="B164" s="11"/>
      <c r="C164" s="13"/>
    </row>
    <row r="165" ht="15.75" customHeight="1">
      <c r="A165" s="14"/>
      <c r="B165" s="11"/>
      <c r="C165" s="13"/>
    </row>
    <row r="166" ht="15.75" customHeight="1">
      <c r="A166" s="14"/>
      <c r="B166" s="11"/>
      <c r="C166" s="13"/>
    </row>
    <row r="167" ht="15.75" customHeight="1">
      <c r="A167" s="14"/>
      <c r="B167" s="11"/>
      <c r="C167" s="13"/>
    </row>
    <row r="168" ht="15.75" customHeight="1">
      <c r="A168" s="14"/>
      <c r="B168" s="11"/>
      <c r="C168" s="13"/>
    </row>
    <row r="169" ht="15.75" customHeight="1">
      <c r="A169" s="14"/>
      <c r="B169" s="11"/>
      <c r="C169" s="13"/>
    </row>
    <row r="170" ht="15.75" customHeight="1">
      <c r="A170" s="14"/>
      <c r="B170" s="11"/>
      <c r="C170" s="13"/>
    </row>
    <row r="171" ht="15.75" customHeight="1">
      <c r="A171" s="14"/>
      <c r="B171" s="11"/>
      <c r="C171" s="13"/>
    </row>
    <row r="172" ht="15.75" customHeight="1">
      <c r="A172" s="14"/>
      <c r="B172" s="11"/>
      <c r="C172" s="13"/>
    </row>
    <row r="173" ht="15.75" customHeight="1">
      <c r="A173" s="14"/>
      <c r="B173" s="11"/>
      <c r="C173" s="13"/>
    </row>
    <row r="174" ht="15.75" customHeight="1">
      <c r="A174" s="14"/>
      <c r="B174" s="11"/>
      <c r="C174" s="13"/>
    </row>
    <row r="175" ht="15.75" customHeight="1">
      <c r="A175" s="14"/>
      <c r="B175" s="11"/>
      <c r="C175" s="13"/>
    </row>
    <row r="176" ht="15.75" customHeight="1">
      <c r="A176" s="14"/>
      <c r="B176" s="11"/>
      <c r="C176" s="13"/>
    </row>
    <row r="177" ht="15.75" customHeight="1">
      <c r="A177" s="14"/>
      <c r="B177" s="11"/>
      <c r="C177" s="13"/>
    </row>
    <row r="178" ht="15.75" customHeight="1">
      <c r="A178" s="14"/>
      <c r="B178" s="11"/>
      <c r="C178" s="13"/>
    </row>
    <row r="179" ht="15.75" customHeight="1">
      <c r="A179" s="14"/>
      <c r="B179" s="11"/>
      <c r="C179" s="13"/>
    </row>
    <row r="180" ht="15.75" customHeight="1">
      <c r="A180" s="14"/>
      <c r="B180" s="11"/>
      <c r="C180" s="13"/>
    </row>
    <row r="181" ht="15.75" customHeight="1">
      <c r="A181" s="14"/>
      <c r="B181" s="11"/>
      <c r="C181" s="13"/>
    </row>
    <row r="182" ht="15.75" customHeight="1">
      <c r="A182" s="14"/>
      <c r="B182" s="11"/>
      <c r="C182" s="13"/>
    </row>
    <row r="183" ht="15.75" customHeight="1">
      <c r="A183" s="14"/>
      <c r="B183" s="11"/>
      <c r="C183" s="13"/>
    </row>
    <row r="184" ht="15.75" customHeight="1">
      <c r="A184" s="14"/>
      <c r="B184" s="11"/>
      <c r="C184" s="13"/>
    </row>
    <row r="185" ht="15.75" customHeight="1">
      <c r="A185" s="14"/>
      <c r="B185" s="11"/>
      <c r="C185" s="13"/>
    </row>
    <row r="186" ht="15.75" customHeight="1">
      <c r="A186" s="14"/>
      <c r="B186" s="11"/>
      <c r="C186" s="13"/>
    </row>
    <row r="187" ht="15.75" customHeight="1">
      <c r="A187" s="14"/>
      <c r="B187" s="11"/>
      <c r="C187" s="13"/>
    </row>
    <row r="188" ht="15.75" customHeight="1">
      <c r="A188" s="14"/>
      <c r="B188" s="11"/>
      <c r="C188" s="13"/>
    </row>
    <row r="189" ht="15.75" customHeight="1">
      <c r="A189" s="14"/>
      <c r="B189" s="11"/>
      <c r="C189" s="13"/>
    </row>
    <row r="190" ht="15.75" customHeight="1">
      <c r="A190" s="14"/>
      <c r="B190" s="11"/>
      <c r="C190" s="13"/>
    </row>
    <row r="191" ht="15.75" customHeight="1">
      <c r="A191" s="14"/>
      <c r="B191" s="11"/>
      <c r="C191" s="13"/>
    </row>
    <row r="192" ht="15.75" customHeight="1">
      <c r="A192" s="14"/>
      <c r="B192" s="11"/>
      <c r="C192" s="13"/>
    </row>
    <row r="193" ht="15.75" customHeight="1">
      <c r="A193" s="14"/>
      <c r="B193" s="11"/>
      <c r="C193" s="13"/>
    </row>
    <row r="194" ht="15.75" customHeight="1">
      <c r="A194" s="14"/>
      <c r="B194" s="11"/>
      <c r="C194" s="13"/>
    </row>
    <row r="195" ht="15.75" customHeight="1">
      <c r="A195" s="14"/>
      <c r="B195" s="11"/>
      <c r="C195" s="13"/>
    </row>
    <row r="196" ht="15.75" customHeight="1">
      <c r="A196" s="14"/>
      <c r="B196" s="11"/>
      <c r="C196" s="13"/>
    </row>
    <row r="197" ht="15.75" customHeight="1">
      <c r="A197" s="14"/>
      <c r="B197" s="11"/>
      <c r="C197" s="13"/>
    </row>
    <row r="198" ht="15.75" customHeight="1">
      <c r="A198" s="14"/>
      <c r="B198" s="11"/>
      <c r="C198" s="13"/>
    </row>
    <row r="199" ht="15.75" customHeight="1">
      <c r="A199" s="14"/>
      <c r="B199" s="11"/>
      <c r="C199" s="13"/>
    </row>
    <row r="200" ht="15.75" customHeight="1">
      <c r="A200" s="14"/>
      <c r="B200" s="11"/>
      <c r="C200" s="13"/>
    </row>
    <row r="201" ht="15.75" customHeight="1">
      <c r="A201" s="14"/>
      <c r="B201" s="11"/>
      <c r="C201" s="13"/>
    </row>
    <row r="202" ht="15.75" customHeight="1">
      <c r="A202" s="14"/>
      <c r="B202" s="11"/>
      <c r="C202" s="13"/>
    </row>
    <row r="203" ht="15.75" customHeight="1">
      <c r="A203" s="14"/>
      <c r="B203" s="11"/>
      <c r="C203" s="13"/>
    </row>
    <row r="204" ht="15.75" customHeight="1">
      <c r="A204" s="14"/>
      <c r="B204" s="11"/>
      <c r="C204" s="13"/>
    </row>
    <row r="205" ht="15.75" customHeight="1">
      <c r="A205" s="14"/>
      <c r="B205" s="11"/>
      <c r="C205" s="13"/>
    </row>
    <row r="206" ht="15.75" customHeight="1">
      <c r="A206" s="14"/>
      <c r="B206" s="11"/>
      <c r="C206" s="13"/>
    </row>
    <row r="207" ht="15.75" customHeight="1">
      <c r="A207" s="14"/>
      <c r="B207" s="11"/>
      <c r="C207" s="13"/>
    </row>
    <row r="208" ht="15.75" customHeight="1">
      <c r="A208" s="14"/>
      <c r="B208" s="11"/>
      <c r="C208" s="13"/>
    </row>
    <row r="209" ht="15.75" customHeight="1">
      <c r="A209" s="14"/>
      <c r="B209" s="11"/>
      <c r="C209" s="13"/>
    </row>
    <row r="210" ht="15.75" customHeight="1">
      <c r="A210" s="14"/>
      <c r="B210" s="11"/>
      <c r="C210" s="13"/>
    </row>
    <row r="211" ht="15.75" customHeight="1">
      <c r="A211" s="14"/>
      <c r="B211" s="11"/>
      <c r="C211" s="13"/>
    </row>
    <row r="212" ht="15.75" customHeight="1">
      <c r="A212" s="14"/>
      <c r="B212" s="11"/>
      <c r="C212" s="13"/>
    </row>
    <row r="213" ht="15.75" customHeight="1">
      <c r="A213" s="14"/>
      <c r="B213" s="11"/>
      <c r="C213" s="13"/>
    </row>
    <row r="214" ht="15.75" customHeight="1">
      <c r="A214" s="14"/>
      <c r="B214" s="11"/>
      <c r="C214" s="13"/>
    </row>
    <row r="215" ht="15.75" customHeight="1">
      <c r="A215" s="14"/>
      <c r="B215" s="11"/>
      <c r="C215" s="13"/>
    </row>
    <row r="216" ht="15.75" customHeight="1">
      <c r="A216" s="14"/>
      <c r="B216" s="11"/>
      <c r="C216" s="13"/>
    </row>
    <row r="217" ht="15.75" customHeight="1">
      <c r="A217" s="14"/>
      <c r="B217" s="11"/>
      <c r="C217" s="13"/>
    </row>
    <row r="218" ht="15.75" customHeight="1">
      <c r="A218" s="14"/>
      <c r="B218" s="11"/>
      <c r="C218" s="13"/>
    </row>
    <row r="219" ht="15.75" customHeight="1">
      <c r="A219" s="14"/>
      <c r="B219" s="11"/>
      <c r="C219" s="13"/>
    </row>
    <row r="220" ht="15.75" customHeight="1">
      <c r="A220" s="14"/>
      <c r="B220" s="11"/>
      <c r="C220" s="13"/>
    </row>
    <row r="221" ht="15.75" customHeight="1">
      <c r="A221" s="14"/>
      <c r="B221" s="11"/>
      <c r="C221" s="13"/>
    </row>
    <row r="222" ht="15.75" customHeight="1">
      <c r="A222" s="14"/>
      <c r="B222" s="11"/>
      <c r="C222" s="13"/>
    </row>
    <row r="223" ht="15.75" customHeight="1">
      <c r="A223" s="14"/>
      <c r="B223" s="11"/>
      <c r="C223" s="13"/>
    </row>
    <row r="224" ht="15.75" customHeight="1">
      <c r="A224" s="14"/>
      <c r="B224" s="11"/>
      <c r="C224" s="13"/>
    </row>
    <row r="225" ht="15.75" customHeight="1">
      <c r="A225" s="14"/>
      <c r="B225" s="11"/>
      <c r="C225" s="13"/>
    </row>
    <row r="226" ht="15.75" customHeight="1">
      <c r="A226" s="14"/>
      <c r="B226" s="11"/>
      <c r="C226" s="13"/>
    </row>
    <row r="227" ht="15.75" customHeight="1">
      <c r="A227" s="14"/>
      <c r="B227" s="11"/>
      <c r="C227" s="13"/>
    </row>
    <row r="228" ht="15.75" customHeight="1">
      <c r="A228" s="14"/>
      <c r="B228" s="11"/>
      <c r="C228" s="13"/>
    </row>
    <row r="229" ht="15.75" customHeight="1">
      <c r="A229" s="14"/>
      <c r="B229" s="11"/>
      <c r="C229" s="13"/>
    </row>
    <row r="230" ht="15.75" customHeight="1">
      <c r="A230" s="14"/>
      <c r="B230" s="11"/>
      <c r="C230" s="13"/>
    </row>
    <row r="231" ht="15.75" customHeight="1">
      <c r="A231" s="14"/>
      <c r="B231" s="11"/>
      <c r="C231" s="13"/>
    </row>
    <row r="232" ht="15.75" customHeight="1">
      <c r="A232" s="14"/>
      <c r="B232" s="11"/>
      <c r="C232" s="13"/>
    </row>
    <row r="233" ht="15.75" customHeight="1">
      <c r="A233" s="14"/>
      <c r="B233" s="11"/>
      <c r="C233" s="13"/>
    </row>
    <row r="234" ht="15.75" customHeight="1">
      <c r="A234" s="14"/>
      <c r="B234" s="11"/>
      <c r="C234" s="13"/>
    </row>
    <row r="235" ht="15.75" customHeight="1">
      <c r="A235" s="14"/>
      <c r="B235" s="11"/>
      <c r="C235" s="13"/>
    </row>
    <row r="236" ht="15.75" customHeight="1">
      <c r="A236" s="14"/>
      <c r="B236" s="11"/>
      <c r="C236" s="13"/>
    </row>
    <row r="237" ht="15.75" customHeight="1">
      <c r="A237" s="14"/>
      <c r="B237" s="11"/>
      <c r="C237" s="13"/>
    </row>
    <row r="238" ht="15.75" customHeight="1">
      <c r="A238" s="14"/>
      <c r="B238" s="11"/>
      <c r="C238" s="13"/>
    </row>
    <row r="239" ht="15.75" customHeight="1">
      <c r="A239" s="14"/>
      <c r="B239" s="11"/>
      <c r="C239" s="13"/>
    </row>
    <row r="240" ht="15.75" customHeight="1">
      <c r="A240" s="14"/>
      <c r="B240" s="11"/>
      <c r="C240" s="13"/>
    </row>
    <row r="241" ht="15.75" customHeight="1">
      <c r="A241" s="14"/>
      <c r="B241" s="11"/>
      <c r="C241" s="13"/>
    </row>
    <row r="242" ht="15.75" customHeight="1">
      <c r="A242" s="14"/>
      <c r="B242" s="11"/>
      <c r="C242" s="13"/>
    </row>
    <row r="243" ht="15.75" customHeight="1">
      <c r="A243" s="14"/>
      <c r="B243" s="11"/>
      <c r="C243" s="13"/>
    </row>
    <row r="244" ht="15.75" customHeight="1">
      <c r="A244" s="14"/>
      <c r="B244" s="11"/>
      <c r="C244" s="13"/>
    </row>
    <row r="245" ht="15.75" customHeight="1">
      <c r="A245" s="14"/>
      <c r="B245" s="11"/>
      <c r="C245" s="13"/>
    </row>
    <row r="246" ht="15.75" customHeight="1">
      <c r="A246" s="14"/>
      <c r="B246" s="11"/>
      <c r="C246" s="13"/>
    </row>
    <row r="247" ht="15.75" customHeight="1">
      <c r="A247" s="14"/>
      <c r="B247" s="11"/>
      <c r="C247" s="13"/>
    </row>
    <row r="248" ht="15.75" customHeight="1">
      <c r="A248" s="14"/>
      <c r="B248" s="11"/>
      <c r="C248" s="13"/>
    </row>
    <row r="249" ht="15.75" customHeight="1">
      <c r="A249" s="14"/>
      <c r="B249" s="11"/>
      <c r="C249" s="13"/>
    </row>
    <row r="250" ht="15.75" customHeight="1">
      <c r="A250" s="14"/>
      <c r="B250" s="11"/>
      <c r="C250" s="13"/>
    </row>
    <row r="251" ht="15.75" customHeight="1">
      <c r="A251" s="14"/>
      <c r="B251" s="11"/>
      <c r="C251" s="13"/>
    </row>
    <row r="252" ht="15.75" customHeight="1">
      <c r="A252" s="14"/>
      <c r="B252" s="11"/>
      <c r="C252" s="13"/>
    </row>
    <row r="253" ht="15.75" customHeight="1">
      <c r="A253" s="14"/>
      <c r="B253" s="11"/>
      <c r="C253" s="13"/>
    </row>
    <row r="254" ht="15.75" customHeight="1">
      <c r="A254" s="14"/>
      <c r="B254" s="11"/>
      <c r="C254" s="13"/>
    </row>
    <row r="255" ht="15.75" customHeight="1">
      <c r="A255" s="14"/>
      <c r="B255" s="11"/>
      <c r="C255" s="13"/>
    </row>
    <row r="256" ht="15.75" customHeight="1">
      <c r="A256" s="14"/>
      <c r="B256" s="11"/>
      <c r="C256" s="13"/>
    </row>
    <row r="257" ht="15.75" customHeight="1">
      <c r="A257" s="14"/>
      <c r="B257" s="11"/>
      <c r="C257" s="13"/>
    </row>
    <row r="258" ht="15.75" customHeight="1">
      <c r="A258" s="14"/>
      <c r="B258" s="11"/>
      <c r="C258" s="13"/>
    </row>
    <row r="259" ht="15.75" customHeight="1">
      <c r="A259" s="14"/>
      <c r="B259" s="11"/>
      <c r="C259" s="13"/>
    </row>
    <row r="260" ht="15.75" customHeight="1">
      <c r="A260" s="14"/>
      <c r="B260" s="11"/>
      <c r="C260" s="13"/>
    </row>
    <row r="261" ht="15.75" customHeight="1">
      <c r="A261" s="14"/>
      <c r="B261" s="11"/>
      <c r="C261" s="13"/>
    </row>
    <row r="262" ht="15.75" customHeight="1">
      <c r="A262" s="14"/>
      <c r="B262" s="11"/>
      <c r="C262" s="13"/>
    </row>
    <row r="263" ht="15.75" customHeight="1">
      <c r="A263" s="14"/>
      <c r="B263" s="11"/>
      <c r="C263" s="13"/>
    </row>
    <row r="264" ht="15.75" customHeight="1">
      <c r="A264" s="14"/>
      <c r="B264" s="11"/>
      <c r="C264" s="13"/>
    </row>
    <row r="265" ht="15.75" customHeight="1">
      <c r="A265" s="14"/>
      <c r="B265" s="11"/>
      <c r="C265" s="13"/>
    </row>
    <row r="266" ht="15.75" customHeight="1">
      <c r="A266" s="14"/>
      <c r="B266" s="11"/>
      <c r="C266" s="13"/>
    </row>
    <row r="267" ht="15.75" customHeight="1">
      <c r="A267" s="14"/>
      <c r="B267" s="11"/>
      <c r="C267" s="13"/>
    </row>
    <row r="268" ht="15.75" customHeight="1">
      <c r="A268" s="14"/>
      <c r="B268" s="11"/>
      <c r="C268" s="13"/>
    </row>
    <row r="269" ht="15.75" customHeight="1">
      <c r="A269" s="14"/>
      <c r="B269" s="11"/>
      <c r="C269" s="13"/>
    </row>
    <row r="270" ht="15.75" customHeight="1">
      <c r="A270" s="14"/>
      <c r="B270" s="11"/>
      <c r="C270" s="13"/>
    </row>
    <row r="271" ht="15.75" customHeight="1">
      <c r="A271" s="14"/>
      <c r="B271" s="11"/>
      <c r="C271" s="13"/>
    </row>
    <row r="272" ht="15.75" customHeight="1">
      <c r="A272" s="14"/>
      <c r="B272" s="11"/>
      <c r="C272" s="13"/>
    </row>
    <row r="273" ht="15.75" customHeight="1">
      <c r="A273" s="14"/>
      <c r="B273" s="11"/>
      <c r="C273" s="13"/>
    </row>
    <row r="274" ht="15.75" customHeight="1">
      <c r="A274" s="14"/>
      <c r="B274" s="11"/>
      <c r="C274" s="13"/>
    </row>
    <row r="275" ht="15.75" customHeight="1">
      <c r="A275" s="14"/>
      <c r="B275" s="11"/>
      <c r="C275" s="13"/>
    </row>
    <row r="276" ht="15.75" customHeight="1">
      <c r="A276" s="14"/>
      <c r="B276" s="11"/>
      <c r="C276" s="13"/>
    </row>
    <row r="277" ht="15.75" customHeight="1">
      <c r="A277" s="14"/>
      <c r="B277" s="11"/>
      <c r="C277" s="13"/>
    </row>
    <row r="278" ht="15.75" customHeight="1">
      <c r="A278" s="14"/>
      <c r="B278" s="11"/>
      <c r="C278" s="13"/>
    </row>
    <row r="279" ht="15.75" customHeight="1">
      <c r="A279" s="14"/>
      <c r="B279" s="11"/>
      <c r="C279" s="13"/>
    </row>
    <row r="280" ht="15.75" customHeight="1">
      <c r="A280" s="14"/>
      <c r="B280" s="11"/>
      <c r="C280" s="13"/>
    </row>
    <row r="281" ht="15.75" customHeight="1">
      <c r="A281" s="14"/>
      <c r="B281" s="11"/>
      <c r="C281" s="13"/>
    </row>
    <row r="282" ht="15.75" customHeight="1">
      <c r="A282" s="14"/>
      <c r="B282" s="11"/>
      <c r="C282" s="13"/>
    </row>
    <row r="283" ht="15.75" customHeight="1">
      <c r="A283" s="14"/>
      <c r="B283" s="11"/>
      <c r="C283" s="13"/>
    </row>
    <row r="284" ht="15.75" customHeight="1">
      <c r="A284" s="14"/>
      <c r="B284" s="11"/>
      <c r="C284" s="13"/>
    </row>
    <row r="285" ht="15.75" customHeight="1">
      <c r="A285" s="14"/>
      <c r="B285" s="11"/>
      <c r="C285" s="13"/>
    </row>
    <row r="286" ht="15.75" customHeight="1">
      <c r="A286" s="14"/>
      <c r="B286" s="11"/>
      <c r="C286" s="13"/>
    </row>
    <row r="287" ht="15.75" customHeight="1">
      <c r="A287" s="14"/>
      <c r="B287" s="11"/>
      <c r="C287" s="13"/>
    </row>
    <row r="288" ht="15.75" customHeight="1">
      <c r="A288" s="14"/>
      <c r="B288" s="11"/>
      <c r="C288" s="13"/>
    </row>
    <row r="289" ht="15.75" customHeight="1">
      <c r="A289" s="14"/>
      <c r="B289" s="11"/>
      <c r="C289" s="13"/>
    </row>
    <row r="290" ht="15.75" customHeight="1">
      <c r="A290" s="14"/>
      <c r="B290" s="11"/>
      <c r="C290" s="13"/>
    </row>
    <row r="291" ht="15.75" customHeight="1">
      <c r="A291" s="14"/>
      <c r="B291" s="11"/>
      <c r="C291" s="13"/>
    </row>
    <row r="292" ht="15.75" customHeight="1">
      <c r="A292" s="14"/>
      <c r="B292" s="11"/>
      <c r="C292" s="13"/>
    </row>
    <row r="293" ht="15.75" customHeight="1">
      <c r="A293" s="14"/>
      <c r="B293" s="11"/>
      <c r="C293" s="13"/>
    </row>
    <row r="294" ht="15.75" customHeight="1">
      <c r="A294" s="14"/>
      <c r="B294" s="11"/>
      <c r="C294" s="13"/>
    </row>
    <row r="295" ht="15.75" customHeight="1">
      <c r="A295" s="14"/>
      <c r="B295" s="11"/>
      <c r="C295" s="13"/>
    </row>
    <row r="296" ht="15.75" customHeight="1">
      <c r="A296" s="14"/>
      <c r="B296" s="11"/>
      <c r="C296" s="13"/>
    </row>
    <row r="297" ht="15.75" customHeight="1">
      <c r="A297" s="14"/>
      <c r="B297" s="11"/>
      <c r="C297" s="13"/>
    </row>
    <row r="298" ht="15.75" customHeight="1">
      <c r="A298" s="14"/>
      <c r="B298" s="11"/>
      <c r="C298" s="13"/>
    </row>
    <row r="299" ht="15.75" customHeight="1">
      <c r="A299" s="14"/>
      <c r="B299" s="11"/>
      <c r="C299" s="13"/>
    </row>
    <row r="300" ht="15.75" customHeight="1">
      <c r="A300" s="14"/>
      <c r="B300" s="11"/>
      <c r="C300" s="13"/>
    </row>
    <row r="301" ht="15.75" customHeight="1">
      <c r="A301" s="14"/>
      <c r="B301" s="11"/>
      <c r="C301" s="13"/>
    </row>
    <row r="302" ht="15.75" customHeight="1">
      <c r="A302" s="14"/>
      <c r="B302" s="11"/>
      <c r="C302" s="13"/>
    </row>
    <row r="303" ht="15.75" customHeight="1">
      <c r="A303" s="14"/>
      <c r="B303" s="11"/>
      <c r="C303" s="13"/>
    </row>
    <row r="304" ht="15.75" customHeight="1">
      <c r="A304" s="14"/>
      <c r="B304" s="11"/>
      <c r="C304" s="13"/>
    </row>
    <row r="305" ht="15.75" customHeight="1">
      <c r="A305" s="14"/>
      <c r="B305" s="11"/>
      <c r="C305" s="13"/>
    </row>
    <row r="306" ht="15.75" customHeight="1">
      <c r="A306" s="14"/>
      <c r="B306" s="11"/>
      <c r="C306" s="13"/>
    </row>
    <row r="307" ht="15.75" customHeight="1">
      <c r="A307" s="14"/>
      <c r="B307" s="11"/>
      <c r="C307" s="13"/>
    </row>
    <row r="308" ht="15.75" customHeight="1">
      <c r="A308" s="14"/>
      <c r="B308" s="11"/>
      <c r="C308" s="13"/>
    </row>
    <row r="309" ht="15.75" customHeight="1">
      <c r="A309" s="14"/>
      <c r="B309" s="11"/>
      <c r="C309" s="13"/>
    </row>
    <row r="310" ht="15.75" customHeight="1">
      <c r="A310" s="14"/>
      <c r="B310" s="11"/>
      <c r="C310" s="13"/>
    </row>
    <row r="311" ht="15.75" customHeight="1">
      <c r="A311" s="14"/>
      <c r="B311" s="11"/>
      <c r="C311" s="13"/>
    </row>
    <row r="312" ht="15.75" customHeight="1">
      <c r="A312" s="14"/>
      <c r="B312" s="11"/>
      <c r="C312" s="13"/>
    </row>
    <row r="313" ht="15.75" customHeight="1">
      <c r="A313" s="14"/>
      <c r="B313" s="11"/>
      <c r="C313" s="13"/>
    </row>
    <row r="314" ht="15.75" customHeight="1">
      <c r="A314" s="14"/>
      <c r="B314" s="11"/>
      <c r="C314" s="13"/>
    </row>
    <row r="315" ht="15.75" customHeight="1">
      <c r="A315" s="14"/>
      <c r="B315" s="11"/>
      <c r="C315" s="13"/>
    </row>
    <row r="316" ht="15.75" customHeight="1">
      <c r="A316" s="14"/>
      <c r="B316" s="11"/>
      <c r="C316" s="13"/>
    </row>
    <row r="317" ht="15.75" customHeight="1">
      <c r="A317" s="14"/>
      <c r="B317" s="11"/>
      <c r="C317" s="13"/>
    </row>
    <row r="318" ht="15.75" customHeight="1">
      <c r="A318" s="14"/>
      <c r="B318" s="11"/>
      <c r="C318" s="13"/>
    </row>
    <row r="319" ht="15.75" customHeight="1">
      <c r="A319" s="14"/>
      <c r="B319" s="11"/>
      <c r="C319" s="13"/>
    </row>
    <row r="320" ht="15.75" customHeight="1">
      <c r="A320" s="14"/>
      <c r="B320" s="11"/>
      <c r="C320" s="13"/>
    </row>
    <row r="321" ht="15.75" customHeight="1">
      <c r="A321" s="14"/>
      <c r="B321" s="11"/>
      <c r="C321" s="13"/>
    </row>
    <row r="322" ht="15.75" customHeight="1">
      <c r="A322" s="14"/>
      <c r="B322" s="11"/>
      <c r="C322" s="13"/>
    </row>
    <row r="323" ht="15.75" customHeight="1">
      <c r="A323" s="14"/>
      <c r="B323" s="11"/>
      <c r="C323" s="13"/>
    </row>
    <row r="324" ht="15.75" customHeight="1">
      <c r="A324" s="14"/>
      <c r="B324" s="11"/>
      <c r="C324" s="13"/>
    </row>
    <row r="325" ht="15.75" customHeight="1">
      <c r="A325" s="14"/>
      <c r="B325" s="11"/>
      <c r="C325" s="13"/>
    </row>
    <row r="326" ht="15.75" customHeight="1">
      <c r="A326" s="14"/>
      <c r="B326" s="11"/>
      <c r="C326" s="13"/>
    </row>
    <row r="327" ht="15.75" customHeight="1">
      <c r="A327" s="14"/>
      <c r="B327" s="11"/>
      <c r="C327" s="13"/>
    </row>
    <row r="328" ht="15.75" customHeight="1">
      <c r="A328" s="14"/>
      <c r="B328" s="11"/>
      <c r="C328" s="13"/>
    </row>
    <row r="329" ht="15.75" customHeight="1">
      <c r="A329" s="14"/>
      <c r="B329" s="11"/>
      <c r="C329" s="13"/>
    </row>
    <row r="330" ht="15.75" customHeight="1">
      <c r="A330" s="14"/>
      <c r="B330" s="11"/>
      <c r="C330" s="13"/>
    </row>
    <row r="331" ht="15.75" customHeight="1">
      <c r="A331" s="14"/>
      <c r="B331" s="11"/>
      <c r="C331" s="13"/>
    </row>
    <row r="332" ht="15.75" customHeight="1">
      <c r="A332" s="14"/>
      <c r="B332" s="11"/>
      <c r="C332" s="13"/>
    </row>
    <row r="333" ht="15.75" customHeight="1">
      <c r="A333" s="14"/>
      <c r="B333" s="11"/>
      <c r="C333" s="13"/>
    </row>
    <row r="334" ht="15.75" customHeight="1">
      <c r="A334" s="14"/>
      <c r="B334" s="11"/>
      <c r="C334" s="13"/>
    </row>
    <row r="335" ht="15.75" customHeight="1">
      <c r="A335" s="14"/>
      <c r="B335" s="11"/>
      <c r="C335" s="13"/>
    </row>
    <row r="336" ht="15.75" customHeight="1">
      <c r="A336" s="14"/>
      <c r="B336" s="11"/>
      <c r="C336" s="13"/>
    </row>
    <row r="337" ht="15.75" customHeight="1">
      <c r="A337" s="14"/>
      <c r="B337" s="11"/>
      <c r="C337" s="13"/>
    </row>
    <row r="338" ht="15.75" customHeight="1">
      <c r="A338" s="14"/>
      <c r="B338" s="11"/>
      <c r="C338" s="13"/>
    </row>
    <row r="339" ht="15.75" customHeight="1">
      <c r="A339" s="14"/>
      <c r="B339" s="11"/>
      <c r="C339" s="13"/>
    </row>
    <row r="340" ht="15.75" customHeight="1">
      <c r="A340" s="14"/>
      <c r="B340" s="11"/>
      <c r="C340" s="13"/>
    </row>
    <row r="341" ht="15.75" customHeight="1">
      <c r="A341" s="14"/>
      <c r="B341" s="11"/>
      <c r="C341" s="13"/>
    </row>
    <row r="342" ht="15.75" customHeight="1">
      <c r="A342" s="14"/>
      <c r="B342" s="11"/>
      <c r="C342" s="13"/>
    </row>
    <row r="343" ht="15.75" customHeight="1">
      <c r="A343" s="14"/>
      <c r="B343" s="11"/>
      <c r="C343" s="13"/>
    </row>
    <row r="344" ht="15.75" customHeight="1">
      <c r="A344" s="14"/>
      <c r="B344" s="11"/>
      <c r="C344" s="13"/>
    </row>
    <row r="345" ht="15.75" customHeight="1">
      <c r="A345" s="14"/>
      <c r="B345" s="11"/>
      <c r="C345" s="13"/>
    </row>
    <row r="346" ht="15.75" customHeight="1">
      <c r="A346" s="14"/>
      <c r="B346" s="11"/>
      <c r="C346" s="13"/>
    </row>
    <row r="347" ht="15.75" customHeight="1">
      <c r="A347" s="14"/>
      <c r="B347" s="11"/>
      <c r="C347" s="13"/>
    </row>
    <row r="348" ht="15.75" customHeight="1">
      <c r="A348" s="14"/>
      <c r="B348" s="11"/>
      <c r="C348" s="13"/>
    </row>
    <row r="349" ht="15.75" customHeight="1">
      <c r="A349" s="14"/>
      <c r="B349" s="11"/>
      <c r="C349" s="13"/>
    </row>
    <row r="350" ht="15.75" customHeight="1">
      <c r="A350" s="14"/>
      <c r="B350" s="11"/>
      <c r="C350" s="13"/>
    </row>
    <row r="351" ht="15.75" customHeight="1">
      <c r="A351" s="14"/>
      <c r="B351" s="11"/>
      <c r="C351" s="13"/>
    </row>
    <row r="352" ht="15.75" customHeight="1">
      <c r="A352" s="14"/>
      <c r="B352" s="11"/>
      <c r="C352" s="13"/>
    </row>
    <row r="353" ht="15.75" customHeight="1">
      <c r="A353" s="14"/>
      <c r="B353" s="11"/>
      <c r="C353" s="13"/>
    </row>
    <row r="354" ht="15.75" customHeight="1">
      <c r="A354" s="14"/>
      <c r="B354" s="11"/>
      <c r="C354" s="13"/>
    </row>
    <row r="355" ht="15.75" customHeight="1">
      <c r="A355" s="14"/>
      <c r="B355" s="11"/>
      <c r="C355" s="13"/>
    </row>
    <row r="356" ht="15.75" customHeight="1">
      <c r="A356" s="14"/>
      <c r="B356" s="11"/>
      <c r="C356" s="13"/>
    </row>
    <row r="357" ht="15.75" customHeight="1">
      <c r="A357" s="14"/>
      <c r="B357" s="11"/>
      <c r="C357" s="13"/>
    </row>
    <row r="358" ht="15.75" customHeight="1">
      <c r="A358" s="14"/>
      <c r="B358" s="11"/>
      <c r="C358" s="13"/>
    </row>
    <row r="359" ht="15.75" customHeight="1">
      <c r="A359" s="14"/>
      <c r="B359" s="11"/>
      <c r="C359" s="13"/>
    </row>
    <row r="360" ht="15.75" customHeight="1">
      <c r="A360" s="14"/>
      <c r="B360" s="11"/>
      <c r="C360" s="13"/>
    </row>
    <row r="361" ht="15.75" customHeight="1">
      <c r="A361" s="14"/>
      <c r="B361" s="11"/>
      <c r="C361" s="13"/>
    </row>
    <row r="362" ht="15.75" customHeight="1">
      <c r="A362" s="14"/>
      <c r="B362" s="11"/>
      <c r="C362" s="13"/>
    </row>
    <row r="363" ht="15.75" customHeight="1">
      <c r="A363" s="14"/>
      <c r="B363" s="11"/>
      <c r="C363" s="13"/>
    </row>
    <row r="364" ht="15.75" customHeight="1">
      <c r="A364" s="14"/>
      <c r="B364" s="11"/>
      <c r="C364" s="13"/>
    </row>
    <row r="365" ht="15.75" customHeight="1">
      <c r="A365" s="14"/>
      <c r="B365" s="11"/>
      <c r="C365" s="13"/>
    </row>
    <row r="366" ht="15.75" customHeight="1">
      <c r="A366" s="14"/>
      <c r="B366" s="11"/>
      <c r="C366" s="13"/>
    </row>
    <row r="367" ht="15.75" customHeight="1">
      <c r="A367" s="14"/>
      <c r="B367" s="11"/>
      <c r="C367" s="13"/>
    </row>
    <row r="368" ht="15.75" customHeight="1">
      <c r="A368" s="14"/>
      <c r="B368" s="11"/>
      <c r="C368" s="13"/>
    </row>
    <row r="369" ht="15.75" customHeight="1">
      <c r="A369" s="14"/>
      <c r="B369" s="11"/>
      <c r="C369" s="13"/>
    </row>
    <row r="370" ht="15.75" customHeight="1">
      <c r="A370" s="14"/>
      <c r="B370" s="11"/>
      <c r="C370" s="13"/>
    </row>
    <row r="371" ht="15.75" customHeight="1">
      <c r="A371" s="14"/>
      <c r="B371" s="11"/>
      <c r="C371" s="13"/>
    </row>
    <row r="372" ht="15.75" customHeight="1">
      <c r="A372" s="14"/>
      <c r="B372" s="11"/>
      <c r="C372" s="13"/>
    </row>
    <row r="373" ht="15.75" customHeight="1">
      <c r="A373" s="14"/>
      <c r="B373" s="11"/>
      <c r="C373" s="13"/>
    </row>
    <row r="374" ht="15.75" customHeight="1">
      <c r="A374" s="14"/>
      <c r="B374" s="11"/>
      <c r="C374" s="13"/>
    </row>
    <row r="375" ht="15.75" customHeight="1">
      <c r="A375" s="14"/>
      <c r="B375" s="11"/>
      <c r="C375" s="13"/>
    </row>
    <row r="376" ht="15.75" customHeight="1">
      <c r="A376" s="14"/>
      <c r="B376" s="11"/>
      <c r="C376" s="13"/>
    </row>
    <row r="377" ht="15.75" customHeight="1">
      <c r="A377" s="14"/>
      <c r="B377" s="11"/>
      <c r="C377" s="13"/>
    </row>
    <row r="378" ht="15.75" customHeight="1">
      <c r="A378" s="14"/>
      <c r="B378" s="11"/>
      <c r="C378" s="13"/>
    </row>
    <row r="379" ht="15.75" customHeight="1">
      <c r="A379" s="14"/>
      <c r="B379" s="11"/>
      <c r="C379" s="13"/>
    </row>
    <row r="380" ht="15.75" customHeight="1">
      <c r="A380" s="14"/>
      <c r="B380" s="11"/>
      <c r="C380" s="13"/>
    </row>
    <row r="381" ht="15.75" customHeight="1">
      <c r="A381" s="14"/>
      <c r="B381" s="11"/>
      <c r="C381" s="13"/>
    </row>
    <row r="382" ht="15.75" customHeight="1">
      <c r="A382" s="14"/>
      <c r="B382" s="11"/>
      <c r="C382" s="13"/>
    </row>
    <row r="383" ht="15.75" customHeight="1">
      <c r="A383" s="14"/>
      <c r="B383" s="11"/>
      <c r="C383" s="13"/>
    </row>
    <row r="384" ht="15.75" customHeight="1">
      <c r="A384" s="14"/>
      <c r="B384" s="11"/>
      <c r="C384" s="13"/>
    </row>
    <row r="385" ht="15.75" customHeight="1">
      <c r="A385" s="14"/>
      <c r="B385" s="11"/>
      <c r="C385" s="13"/>
    </row>
    <row r="386" ht="15.75" customHeight="1">
      <c r="A386" s="14"/>
      <c r="B386" s="11"/>
      <c r="C386" s="13"/>
    </row>
    <row r="387" ht="15.75" customHeight="1">
      <c r="A387" s="14"/>
      <c r="B387" s="11"/>
      <c r="C387" s="13"/>
    </row>
    <row r="388" ht="15.75" customHeight="1">
      <c r="A388" s="14"/>
      <c r="B388" s="11"/>
      <c r="C388" s="13"/>
    </row>
    <row r="389" ht="15.75" customHeight="1">
      <c r="A389" s="14"/>
      <c r="B389" s="11"/>
      <c r="C389" s="13"/>
    </row>
    <row r="390" ht="15.75" customHeight="1">
      <c r="A390" s="14"/>
      <c r="B390" s="11"/>
      <c r="C390" s="13"/>
    </row>
    <row r="391" ht="15.75" customHeight="1">
      <c r="A391" s="14"/>
      <c r="B391" s="11"/>
      <c r="C391" s="13"/>
    </row>
    <row r="392" ht="15.75" customHeight="1">
      <c r="A392" s="14"/>
      <c r="B392" s="11"/>
      <c r="C392" s="13"/>
    </row>
    <row r="393" ht="15.75" customHeight="1">
      <c r="A393" s="14"/>
      <c r="B393" s="11"/>
      <c r="C393" s="13"/>
    </row>
    <row r="394" ht="15.75" customHeight="1">
      <c r="A394" s="14"/>
      <c r="B394" s="11"/>
      <c r="C394" s="13"/>
    </row>
    <row r="395" ht="15.75" customHeight="1">
      <c r="A395" s="14"/>
      <c r="B395" s="11"/>
      <c r="C395" s="13"/>
    </row>
    <row r="396" ht="15.75" customHeight="1">
      <c r="A396" s="14"/>
      <c r="B396" s="11"/>
      <c r="C396" s="13"/>
    </row>
    <row r="397" ht="15.75" customHeight="1">
      <c r="A397" s="14"/>
      <c r="B397" s="11"/>
      <c r="C397" s="13"/>
    </row>
    <row r="398" ht="15.75" customHeight="1">
      <c r="A398" s="14"/>
      <c r="B398" s="11"/>
      <c r="C398" s="13"/>
    </row>
    <row r="399" ht="15.75" customHeight="1">
      <c r="A399" s="14"/>
      <c r="B399" s="11"/>
      <c r="C399" s="13"/>
    </row>
    <row r="400" ht="15.75" customHeight="1">
      <c r="A400" s="14"/>
      <c r="B400" s="11"/>
      <c r="C400" s="13"/>
    </row>
    <row r="401" ht="15.75" customHeight="1">
      <c r="A401" s="14"/>
      <c r="B401" s="11"/>
      <c r="C401" s="13"/>
    </row>
    <row r="402" ht="15.75" customHeight="1">
      <c r="A402" s="14"/>
      <c r="B402" s="11"/>
      <c r="C402" s="13"/>
    </row>
    <row r="403" ht="15.75" customHeight="1">
      <c r="A403" s="14"/>
      <c r="B403" s="11"/>
      <c r="C403" s="13"/>
    </row>
    <row r="404" ht="15.75" customHeight="1">
      <c r="A404" s="14"/>
      <c r="B404" s="11"/>
      <c r="C404" s="13"/>
    </row>
    <row r="405" ht="15.75" customHeight="1">
      <c r="A405" s="14"/>
      <c r="B405" s="11"/>
      <c r="C405" s="13"/>
    </row>
    <row r="406" ht="15.75" customHeight="1">
      <c r="A406" s="14"/>
      <c r="B406" s="11"/>
      <c r="C406" s="13"/>
    </row>
    <row r="407" ht="15.75" customHeight="1">
      <c r="A407" s="14"/>
      <c r="B407" s="11"/>
      <c r="C407" s="13"/>
    </row>
    <row r="408" ht="15.75" customHeight="1">
      <c r="A408" s="14"/>
      <c r="B408" s="11"/>
      <c r="C408" s="13"/>
    </row>
    <row r="409" ht="15.75" customHeight="1">
      <c r="A409" s="14"/>
      <c r="B409" s="11"/>
      <c r="C409" s="13"/>
    </row>
    <row r="410" ht="15.75" customHeight="1">
      <c r="A410" s="14"/>
      <c r="B410" s="11"/>
      <c r="C410" s="13"/>
    </row>
    <row r="411" ht="15.75" customHeight="1">
      <c r="A411" s="14"/>
      <c r="B411" s="11"/>
      <c r="C411" s="13"/>
    </row>
    <row r="412" ht="15.75" customHeight="1">
      <c r="A412" s="14"/>
      <c r="B412" s="11"/>
      <c r="C412" s="13"/>
    </row>
    <row r="413" ht="15.75" customHeight="1">
      <c r="A413" s="14"/>
      <c r="B413" s="11"/>
      <c r="C413" s="13"/>
    </row>
    <row r="414" ht="15.75" customHeight="1">
      <c r="A414" s="14"/>
      <c r="B414" s="11"/>
      <c r="C414" s="13"/>
    </row>
    <row r="415" ht="15.75" customHeight="1">
      <c r="A415" s="14"/>
      <c r="B415" s="11"/>
      <c r="C415" s="13"/>
    </row>
    <row r="416" ht="15.75" customHeight="1">
      <c r="A416" s="14"/>
      <c r="B416" s="11"/>
      <c r="C416" s="13"/>
    </row>
    <row r="417" ht="15.75" customHeight="1">
      <c r="A417" s="14"/>
      <c r="B417" s="11"/>
      <c r="C417" s="13"/>
    </row>
    <row r="418" ht="15.75" customHeight="1">
      <c r="A418" s="14"/>
      <c r="B418" s="11"/>
      <c r="C418" s="13"/>
    </row>
    <row r="419" ht="15.75" customHeight="1">
      <c r="A419" s="14"/>
      <c r="B419" s="11"/>
      <c r="C419" s="13"/>
    </row>
    <row r="420" ht="15.75" customHeight="1">
      <c r="A420" s="14"/>
      <c r="B420" s="11"/>
      <c r="C420" s="13"/>
    </row>
    <row r="421" ht="15.75" customHeight="1">
      <c r="A421" s="14"/>
      <c r="B421" s="11"/>
      <c r="C421" s="13"/>
    </row>
    <row r="422" ht="15.75" customHeight="1">
      <c r="A422" s="14"/>
      <c r="B422" s="11"/>
      <c r="C422" s="13"/>
    </row>
    <row r="423" ht="15.75" customHeight="1">
      <c r="A423" s="14"/>
      <c r="B423" s="11"/>
      <c r="C423" s="13"/>
    </row>
    <row r="424" ht="15.75" customHeight="1">
      <c r="A424" s="14"/>
      <c r="B424" s="11"/>
      <c r="C424" s="13"/>
    </row>
    <row r="425" ht="15.75" customHeight="1">
      <c r="A425" s="14"/>
      <c r="B425" s="11"/>
      <c r="C425" s="13"/>
    </row>
    <row r="426" ht="15.75" customHeight="1">
      <c r="A426" s="14"/>
      <c r="B426" s="11"/>
      <c r="C426" s="13"/>
    </row>
    <row r="427" ht="15.75" customHeight="1">
      <c r="A427" s="14"/>
      <c r="B427" s="11"/>
      <c r="C427" s="13"/>
    </row>
    <row r="428" ht="15.75" customHeight="1">
      <c r="A428" s="14"/>
      <c r="B428" s="11"/>
      <c r="C428" s="13"/>
    </row>
    <row r="429" ht="15.75" customHeight="1">
      <c r="A429" s="14"/>
      <c r="B429" s="11"/>
      <c r="C429" s="13"/>
    </row>
    <row r="430" ht="15.75" customHeight="1">
      <c r="A430" s="14"/>
      <c r="B430" s="11"/>
      <c r="C430" s="13"/>
    </row>
    <row r="431" ht="15.75" customHeight="1">
      <c r="A431" s="14"/>
      <c r="B431" s="11"/>
      <c r="C431" s="13"/>
    </row>
    <row r="432" ht="15.75" customHeight="1">
      <c r="A432" s="14"/>
      <c r="B432" s="11"/>
      <c r="C432" s="13"/>
    </row>
    <row r="433" ht="15.75" customHeight="1">
      <c r="A433" s="14"/>
      <c r="B433" s="11"/>
      <c r="C433" s="13"/>
    </row>
    <row r="434" ht="15.75" customHeight="1">
      <c r="A434" s="14"/>
      <c r="B434" s="11"/>
      <c r="C434" s="13"/>
    </row>
    <row r="435" ht="15.75" customHeight="1">
      <c r="A435" s="14"/>
      <c r="B435" s="11"/>
      <c r="C435" s="13"/>
    </row>
    <row r="436" ht="15.75" customHeight="1">
      <c r="A436" s="14"/>
      <c r="B436" s="11"/>
      <c r="C436" s="13"/>
    </row>
    <row r="437" ht="15.75" customHeight="1">
      <c r="A437" s="14"/>
      <c r="B437" s="11"/>
      <c r="C437" s="13"/>
    </row>
    <row r="438" ht="15.75" customHeight="1">
      <c r="A438" s="14"/>
      <c r="B438" s="11"/>
      <c r="C438" s="13"/>
    </row>
    <row r="439" ht="15.75" customHeight="1">
      <c r="A439" s="14"/>
      <c r="B439" s="11"/>
      <c r="C439" s="13"/>
    </row>
    <row r="440" ht="15.75" customHeight="1">
      <c r="A440" s="14"/>
      <c r="B440" s="11"/>
      <c r="C440" s="13"/>
    </row>
    <row r="441" ht="15.75" customHeight="1">
      <c r="A441" s="14"/>
      <c r="B441" s="11"/>
      <c r="C441" s="13"/>
    </row>
    <row r="442" ht="15.75" customHeight="1">
      <c r="A442" s="14"/>
      <c r="B442" s="11"/>
      <c r="C442" s="13"/>
    </row>
    <row r="443" ht="15.75" customHeight="1">
      <c r="A443" s="14"/>
      <c r="B443" s="11"/>
      <c r="C443" s="13"/>
    </row>
    <row r="444" ht="15.75" customHeight="1">
      <c r="A444" s="14"/>
      <c r="B444" s="11"/>
      <c r="C444" s="13"/>
    </row>
    <row r="445" ht="15.75" customHeight="1">
      <c r="A445" s="14"/>
      <c r="B445" s="11"/>
      <c r="C445" s="13"/>
    </row>
    <row r="446" ht="15.75" customHeight="1">
      <c r="A446" s="14"/>
      <c r="B446" s="11"/>
      <c r="C446" s="13"/>
    </row>
    <row r="447" ht="15.75" customHeight="1">
      <c r="A447" s="14"/>
      <c r="B447" s="11"/>
      <c r="C447" s="13"/>
    </row>
    <row r="448" ht="15.75" customHeight="1">
      <c r="A448" s="14"/>
      <c r="B448" s="11"/>
      <c r="C448" s="13"/>
    </row>
    <row r="449" ht="15.75" customHeight="1">
      <c r="A449" s="14"/>
      <c r="B449" s="11"/>
      <c r="C449" s="13"/>
    </row>
    <row r="450" ht="15.75" customHeight="1">
      <c r="A450" s="14"/>
      <c r="B450" s="11"/>
      <c r="C450" s="13"/>
    </row>
    <row r="451" ht="15.75" customHeight="1">
      <c r="A451" s="14"/>
      <c r="B451" s="11"/>
      <c r="C451" s="13"/>
    </row>
    <row r="452" ht="15.75" customHeight="1">
      <c r="A452" s="14"/>
      <c r="B452" s="11"/>
      <c r="C452" s="13"/>
    </row>
    <row r="453" ht="15.75" customHeight="1">
      <c r="A453" s="14"/>
      <c r="B453" s="11"/>
      <c r="C453" s="13"/>
    </row>
    <row r="454" ht="15.75" customHeight="1">
      <c r="A454" s="14"/>
      <c r="B454" s="11"/>
      <c r="C454" s="13"/>
    </row>
    <row r="455" ht="15.75" customHeight="1">
      <c r="A455" s="14"/>
      <c r="B455" s="11"/>
      <c r="C455" s="13"/>
    </row>
    <row r="456" ht="15.75" customHeight="1">
      <c r="A456" s="14"/>
      <c r="B456" s="11"/>
      <c r="C456" s="13"/>
    </row>
    <row r="457" ht="15.75" customHeight="1">
      <c r="A457" s="14"/>
      <c r="B457" s="11"/>
      <c r="C457" s="13"/>
    </row>
    <row r="458" ht="15.75" customHeight="1">
      <c r="A458" s="14"/>
      <c r="B458" s="11"/>
      <c r="C458" s="13"/>
    </row>
    <row r="459" ht="15.75" customHeight="1">
      <c r="A459" s="14"/>
      <c r="B459" s="11"/>
      <c r="C459" s="13"/>
    </row>
    <row r="460" ht="15.75" customHeight="1">
      <c r="A460" s="14"/>
      <c r="B460" s="11"/>
      <c r="C460" s="13"/>
    </row>
    <row r="461" ht="15.75" customHeight="1">
      <c r="A461" s="14"/>
      <c r="B461" s="11"/>
      <c r="C461" s="13"/>
    </row>
    <row r="462" ht="15.75" customHeight="1">
      <c r="A462" s="14"/>
      <c r="B462" s="11"/>
      <c r="C462" s="13"/>
    </row>
    <row r="463" ht="15.75" customHeight="1">
      <c r="A463" s="14"/>
      <c r="B463" s="11"/>
      <c r="C463" s="13"/>
    </row>
    <row r="464" ht="15.75" customHeight="1">
      <c r="A464" s="14"/>
      <c r="B464" s="11"/>
      <c r="C464" s="13"/>
    </row>
    <row r="465" ht="15.75" customHeight="1">
      <c r="A465" s="14"/>
      <c r="B465" s="11"/>
      <c r="C465" s="13"/>
    </row>
    <row r="466" ht="15.75" customHeight="1">
      <c r="A466" s="14"/>
      <c r="B466" s="11"/>
      <c r="C466" s="13"/>
    </row>
    <row r="467" ht="15.75" customHeight="1">
      <c r="A467" s="14"/>
      <c r="B467" s="11"/>
      <c r="C467" s="13"/>
    </row>
    <row r="468" ht="15.75" customHeight="1">
      <c r="A468" s="14"/>
      <c r="B468" s="11"/>
      <c r="C468" s="13"/>
    </row>
    <row r="469" ht="15.75" customHeight="1">
      <c r="A469" s="14"/>
      <c r="B469" s="11"/>
      <c r="C469" s="13"/>
    </row>
    <row r="470" ht="15.75" customHeight="1">
      <c r="A470" s="14"/>
      <c r="B470" s="11"/>
      <c r="C470" s="13"/>
    </row>
    <row r="471" ht="15.75" customHeight="1">
      <c r="A471" s="14"/>
      <c r="B471" s="11"/>
      <c r="C471" s="13"/>
    </row>
    <row r="472" ht="15.75" customHeight="1">
      <c r="A472" s="14"/>
      <c r="B472" s="11"/>
      <c r="C472" s="13"/>
    </row>
    <row r="473" ht="15.75" customHeight="1">
      <c r="A473" s="14"/>
      <c r="B473" s="11"/>
      <c r="C473" s="13"/>
    </row>
    <row r="474" ht="15.75" customHeight="1">
      <c r="A474" s="14"/>
      <c r="B474" s="11"/>
      <c r="C474" s="13"/>
    </row>
    <row r="475" ht="15.75" customHeight="1">
      <c r="A475" s="14"/>
      <c r="B475" s="11"/>
      <c r="C475" s="13"/>
    </row>
    <row r="476" ht="15.75" customHeight="1">
      <c r="A476" s="14"/>
      <c r="B476" s="11"/>
      <c r="C476" s="13"/>
    </row>
    <row r="477" ht="15.75" customHeight="1">
      <c r="A477" s="14"/>
      <c r="B477" s="11"/>
      <c r="C477" s="13"/>
    </row>
    <row r="478" ht="15.75" customHeight="1">
      <c r="A478" s="14"/>
      <c r="B478" s="11"/>
      <c r="C478" s="13"/>
    </row>
    <row r="479" ht="15.75" customHeight="1">
      <c r="A479" s="14"/>
      <c r="B479" s="11"/>
      <c r="C479" s="13"/>
    </row>
    <row r="480" ht="15.75" customHeight="1">
      <c r="A480" s="14"/>
      <c r="B480" s="11"/>
      <c r="C480" s="13"/>
    </row>
    <row r="481" ht="15.75" customHeight="1">
      <c r="A481" s="14"/>
      <c r="B481" s="11"/>
      <c r="C481" s="13"/>
    </row>
    <row r="482" ht="15.75" customHeight="1">
      <c r="A482" s="14"/>
      <c r="B482" s="11"/>
      <c r="C482" s="13"/>
    </row>
    <row r="483" ht="15.75" customHeight="1">
      <c r="A483" s="14"/>
      <c r="B483" s="11"/>
      <c r="C483" s="13"/>
    </row>
    <row r="484" ht="15.75" customHeight="1">
      <c r="A484" s="14"/>
      <c r="B484" s="11"/>
      <c r="C484" s="13"/>
    </row>
    <row r="485" ht="15.75" customHeight="1">
      <c r="A485" s="14"/>
      <c r="B485" s="11"/>
      <c r="C485" s="13"/>
    </row>
    <row r="486" ht="15.75" customHeight="1">
      <c r="A486" s="14"/>
      <c r="B486" s="11"/>
      <c r="C486" s="13"/>
    </row>
    <row r="487" ht="15.75" customHeight="1">
      <c r="A487" s="14"/>
      <c r="B487" s="11"/>
      <c r="C487" s="13"/>
    </row>
    <row r="488" ht="15.75" customHeight="1">
      <c r="A488" s="14"/>
      <c r="B488" s="11"/>
      <c r="C488" s="13"/>
    </row>
    <row r="489" ht="15.75" customHeight="1">
      <c r="A489" s="14"/>
      <c r="B489" s="11"/>
      <c r="C489" s="13"/>
    </row>
    <row r="490" ht="15.75" customHeight="1">
      <c r="A490" s="14"/>
      <c r="B490" s="11"/>
      <c r="C490" s="13"/>
    </row>
    <row r="491" ht="15.75" customHeight="1">
      <c r="A491" s="14"/>
      <c r="B491" s="11"/>
      <c r="C491" s="13"/>
    </row>
    <row r="492" ht="15.75" customHeight="1">
      <c r="A492" s="14"/>
      <c r="B492" s="11"/>
      <c r="C492" s="13"/>
    </row>
    <row r="493" ht="15.75" customHeight="1">
      <c r="A493" s="14"/>
      <c r="B493" s="11"/>
      <c r="C493" s="13"/>
    </row>
    <row r="494" ht="15.75" customHeight="1">
      <c r="A494" s="14"/>
      <c r="B494" s="11"/>
      <c r="C494" s="13"/>
    </row>
    <row r="495" ht="15.75" customHeight="1">
      <c r="A495" s="14"/>
      <c r="B495" s="11"/>
      <c r="C495" s="13"/>
    </row>
    <row r="496" ht="15.75" customHeight="1">
      <c r="A496" s="14"/>
      <c r="B496" s="11"/>
      <c r="C496" s="13"/>
    </row>
    <row r="497" ht="15.75" customHeight="1">
      <c r="A497" s="14"/>
      <c r="B497" s="11"/>
      <c r="C497" s="13"/>
    </row>
    <row r="498" ht="15.75" customHeight="1">
      <c r="A498" s="14"/>
      <c r="B498" s="11"/>
      <c r="C498" s="13"/>
    </row>
    <row r="499" ht="15.75" customHeight="1">
      <c r="A499" s="14"/>
      <c r="B499" s="11"/>
      <c r="C499" s="13"/>
    </row>
    <row r="500" ht="15.75" customHeight="1">
      <c r="A500" s="14"/>
      <c r="B500" s="11"/>
      <c r="C500" s="13"/>
    </row>
    <row r="501" ht="15.75" customHeight="1">
      <c r="A501" s="14"/>
      <c r="B501" s="11"/>
      <c r="C501" s="13"/>
    </row>
    <row r="502" ht="15.75" customHeight="1">
      <c r="A502" s="14"/>
      <c r="B502" s="11"/>
      <c r="C502" s="13"/>
    </row>
    <row r="503" ht="15.75" customHeight="1">
      <c r="A503" s="14"/>
      <c r="B503" s="11"/>
      <c r="C503" s="13"/>
    </row>
    <row r="504" ht="15.75" customHeight="1">
      <c r="A504" s="14"/>
      <c r="B504" s="11"/>
      <c r="C504" s="13"/>
    </row>
    <row r="505" ht="15.75" customHeight="1">
      <c r="A505" s="14"/>
      <c r="B505" s="11"/>
      <c r="C505" s="13"/>
    </row>
    <row r="506" ht="15.75" customHeight="1">
      <c r="A506" s="14"/>
      <c r="B506" s="11"/>
      <c r="C506" s="13"/>
    </row>
    <row r="507" ht="15.75" customHeight="1">
      <c r="A507" s="14"/>
      <c r="B507" s="11"/>
      <c r="C507" s="13"/>
    </row>
    <row r="508" ht="15.75" customHeight="1">
      <c r="A508" s="14"/>
      <c r="B508" s="11"/>
      <c r="C508" s="13"/>
    </row>
    <row r="509" ht="15.75" customHeight="1">
      <c r="A509" s="14"/>
      <c r="B509" s="11"/>
      <c r="C509" s="13"/>
    </row>
    <row r="510" ht="15.75" customHeight="1">
      <c r="A510" s="14"/>
      <c r="B510" s="11"/>
      <c r="C510" s="13"/>
    </row>
    <row r="511" ht="15.75" customHeight="1">
      <c r="A511" s="14"/>
      <c r="B511" s="11"/>
      <c r="C511" s="13"/>
    </row>
    <row r="512" ht="15.75" customHeight="1">
      <c r="A512" s="14"/>
      <c r="B512" s="11"/>
      <c r="C512" s="13"/>
    </row>
    <row r="513" ht="15.75" customHeight="1">
      <c r="A513" s="14"/>
      <c r="B513" s="11"/>
      <c r="C513" s="13"/>
    </row>
    <row r="514" ht="15.75" customHeight="1">
      <c r="A514" s="14"/>
      <c r="B514" s="11"/>
      <c r="C514" s="13"/>
    </row>
    <row r="515" ht="15.75" customHeight="1">
      <c r="A515" s="14"/>
      <c r="B515" s="11"/>
      <c r="C515" s="13"/>
    </row>
    <row r="516" ht="15.75" customHeight="1">
      <c r="A516" s="14"/>
      <c r="B516" s="11"/>
      <c r="C516" s="13"/>
    </row>
    <row r="517" ht="15.75" customHeight="1">
      <c r="A517" s="14"/>
      <c r="B517" s="11"/>
      <c r="C517" s="13"/>
    </row>
    <row r="518" ht="15.75" customHeight="1">
      <c r="A518" s="14"/>
      <c r="B518" s="11"/>
      <c r="C518" s="13"/>
    </row>
    <row r="519" ht="15.75" customHeight="1">
      <c r="A519" s="14"/>
      <c r="B519" s="11"/>
      <c r="C519" s="13"/>
    </row>
    <row r="520" ht="15.75" customHeight="1">
      <c r="A520" s="14"/>
      <c r="B520" s="11"/>
      <c r="C520" s="13"/>
    </row>
    <row r="521" ht="15.75" customHeight="1">
      <c r="A521" s="14"/>
      <c r="B521" s="11"/>
      <c r="C521" s="13"/>
    </row>
    <row r="522" ht="15.75" customHeight="1">
      <c r="A522" s="14"/>
      <c r="B522" s="11"/>
      <c r="C522" s="13"/>
    </row>
    <row r="523" ht="15.75" customHeight="1">
      <c r="A523" s="14"/>
      <c r="B523" s="11"/>
      <c r="C523" s="13"/>
    </row>
    <row r="524" ht="15.75" customHeight="1">
      <c r="A524" s="14"/>
      <c r="B524" s="11"/>
      <c r="C524" s="13"/>
    </row>
    <row r="525" ht="15.75" customHeight="1">
      <c r="A525" s="14"/>
      <c r="B525" s="11"/>
      <c r="C525" s="13"/>
    </row>
    <row r="526" ht="15.75" customHeight="1">
      <c r="A526" s="14"/>
      <c r="B526" s="11"/>
      <c r="C526" s="13"/>
    </row>
    <row r="527" ht="15.75" customHeight="1">
      <c r="A527" s="14"/>
      <c r="B527" s="11"/>
      <c r="C527" s="13"/>
    </row>
    <row r="528" ht="15.75" customHeight="1">
      <c r="A528" s="14"/>
      <c r="B528" s="11"/>
      <c r="C528" s="13"/>
    </row>
    <row r="529" ht="15.75" customHeight="1">
      <c r="A529" s="14"/>
      <c r="B529" s="11"/>
      <c r="C529" s="13"/>
    </row>
    <row r="530" ht="15.75" customHeight="1">
      <c r="A530" s="14"/>
      <c r="B530" s="11"/>
      <c r="C530" s="13"/>
    </row>
    <row r="531" ht="15.75" customHeight="1">
      <c r="A531" s="14"/>
      <c r="B531" s="11"/>
      <c r="C531" s="13"/>
    </row>
    <row r="532" ht="15.75" customHeight="1">
      <c r="A532" s="14"/>
      <c r="B532" s="11"/>
      <c r="C532" s="13"/>
    </row>
    <row r="533" ht="15.75" customHeight="1">
      <c r="A533" s="14"/>
      <c r="B533" s="11"/>
      <c r="C533" s="13"/>
    </row>
    <row r="534" ht="15.75" customHeight="1">
      <c r="A534" s="14"/>
      <c r="B534" s="11"/>
      <c r="C534" s="13"/>
    </row>
    <row r="535" ht="15.75" customHeight="1">
      <c r="A535" s="14"/>
      <c r="B535" s="11"/>
      <c r="C535" s="13"/>
    </row>
    <row r="536" ht="15.75" customHeight="1">
      <c r="A536" s="14"/>
      <c r="B536" s="11"/>
      <c r="C536" s="13"/>
    </row>
    <row r="537" ht="15.75" customHeight="1">
      <c r="A537" s="14"/>
      <c r="B537" s="11"/>
      <c r="C537" s="13"/>
    </row>
    <row r="538" ht="15.75" customHeight="1">
      <c r="A538" s="14"/>
      <c r="B538" s="11"/>
      <c r="C538" s="13"/>
    </row>
    <row r="539" ht="15.75" customHeight="1">
      <c r="A539" s="14"/>
      <c r="B539" s="11"/>
      <c r="C539" s="13"/>
    </row>
    <row r="540" ht="15.75" customHeight="1">
      <c r="A540" s="14"/>
      <c r="B540" s="11"/>
      <c r="C540" s="13"/>
    </row>
    <row r="541" ht="15.75" customHeight="1">
      <c r="A541" s="14"/>
      <c r="B541" s="11"/>
      <c r="C541" s="13"/>
    </row>
    <row r="542" ht="15.75" customHeight="1">
      <c r="A542" s="14"/>
      <c r="B542" s="11"/>
      <c r="C542" s="13"/>
    </row>
    <row r="543" ht="15.75" customHeight="1">
      <c r="A543" s="14"/>
      <c r="B543" s="11"/>
      <c r="C543" s="13"/>
    </row>
    <row r="544" ht="15.75" customHeight="1">
      <c r="A544" s="14"/>
      <c r="B544" s="11"/>
      <c r="C544" s="13"/>
    </row>
    <row r="545" ht="15.75" customHeight="1">
      <c r="A545" s="14"/>
      <c r="B545" s="11"/>
      <c r="C545" s="13"/>
    </row>
    <row r="546" ht="15.75" customHeight="1">
      <c r="A546" s="14"/>
      <c r="B546" s="11"/>
      <c r="C546" s="13"/>
    </row>
    <row r="547" ht="15.75" customHeight="1">
      <c r="A547" s="14"/>
      <c r="B547" s="11"/>
      <c r="C547" s="13"/>
    </row>
    <row r="548" ht="15.75" customHeight="1">
      <c r="A548" s="14"/>
      <c r="B548" s="11"/>
      <c r="C548" s="13"/>
    </row>
    <row r="549" ht="15.75" customHeight="1">
      <c r="A549" s="14"/>
      <c r="B549" s="11"/>
      <c r="C549" s="13"/>
    </row>
    <row r="550" ht="15.75" customHeight="1">
      <c r="A550" s="14"/>
      <c r="B550" s="11"/>
      <c r="C550" s="13"/>
    </row>
    <row r="551" ht="15.75" customHeight="1">
      <c r="A551" s="14"/>
      <c r="B551" s="11"/>
      <c r="C551" s="13"/>
    </row>
    <row r="552" ht="15.75" customHeight="1">
      <c r="A552" s="14"/>
      <c r="B552" s="11"/>
      <c r="C552" s="13"/>
    </row>
    <row r="553" ht="15.75" customHeight="1">
      <c r="A553" s="14"/>
      <c r="B553" s="11"/>
      <c r="C553" s="13"/>
    </row>
    <row r="554" ht="15.75" customHeight="1">
      <c r="A554" s="14"/>
      <c r="B554" s="11"/>
      <c r="C554" s="13"/>
    </row>
    <row r="555" ht="15.75" customHeight="1">
      <c r="A555" s="14"/>
      <c r="B555" s="11"/>
      <c r="C555" s="13"/>
    </row>
    <row r="556" ht="15.75" customHeight="1">
      <c r="A556" s="14"/>
      <c r="B556" s="11"/>
      <c r="C556" s="13"/>
    </row>
    <row r="557" ht="15.75" customHeight="1">
      <c r="A557" s="14"/>
      <c r="B557" s="11"/>
      <c r="C557" s="13"/>
    </row>
    <row r="558" ht="15.75" customHeight="1">
      <c r="A558" s="14"/>
      <c r="B558" s="11"/>
      <c r="C558" s="13"/>
    </row>
    <row r="559" ht="15.75" customHeight="1">
      <c r="A559" s="14"/>
      <c r="B559" s="11"/>
      <c r="C559" s="13"/>
    </row>
    <row r="560" ht="15.75" customHeight="1">
      <c r="A560" s="14"/>
      <c r="B560" s="11"/>
      <c r="C560" s="13"/>
    </row>
    <row r="561" ht="15.75" customHeight="1">
      <c r="A561" s="14"/>
      <c r="B561" s="11"/>
      <c r="C561" s="13"/>
    </row>
    <row r="562" ht="15.75" customHeight="1">
      <c r="A562" s="14"/>
      <c r="B562" s="11"/>
      <c r="C562" s="13"/>
    </row>
    <row r="563" ht="15.75" customHeight="1">
      <c r="A563" s="14"/>
      <c r="B563" s="11"/>
      <c r="C563" s="13"/>
    </row>
    <row r="564" ht="15.75" customHeight="1">
      <c r="A564" s="14"/>
      <c r="B564" s="11"/>
      <c r="C564" s="13"/>
    </row>
    <row r="565" ht="15.75" customHeight="1">
      <c r="A565" s="14"/>
      <c r="B565" s="11"/>
      <c r="C565" s="13"/>
    </row>
    <row r="566" ht="15.75" customHeight="1">
      <c r="A566" s="14"/>
      <c r="B566" s="11"/>
      <c r="C566" s="13"/>
    </row>
    <row r="567" ht="15.75" customHeight="1">
      <c r="A567" s="14"/>
      <c r="B567" s="11"/>
      <c r="C567" s="13"/>
    </row>
    <row r="568" ht="15.75" customHeight="1">
      <c r="A568" s="14"/>
      <c r="B568" s="11"/>
      <c r="C568" s="13"/>
    </row>
    <row r="569" ht="15.75" customHeight="1">
      <c r="A569" s="14"/>
      <c r="B569" s="11"/>
      <c r="C569" s="13"/>
    </row>
    <row r="570" ht="15.75" customHeight="1">
      <c r="A570" s="14"/>
      <c r="B570" s="11"/>
      <c r="C570" s="13"/>
    </row>
    <row r="571" ht="15.75" customHeight="1">
      <c r="A571" s="14"/>
      <c r="B571" s="11"/>
      <c r="C571" s="13"/>
    </row>
    <row r="572" ht="15.75" customHeight="1">
      <c r="A572" s="14"/>
      <c r="B572" s="11"/>
      <c r="C572" s="13"/>
    </row>
    <row r="573" ht="15.75" customHeight="1">
      <c r="A573" s="14"/>
      <c r="B573" s="11"/>
      <c r="C573" s="13"/>
    </row>
    <row r="574" ht="15.75" customHeight="1">
      <c r="A574" s="14"/>
      <c r="B574" s="11"/>
      <c r="C574" s="13"/>
    </row>
    <row r="575" ht="15.75" customHeight="1">
      <c r="A575" s="14"/>
      <c r="B575" s="11"/>
      <c r="C575" s="13"/>
    </row>
    <row r="576" ht="15.75" customHeight="1">
      <c r="A576" s="14"/>
      <c r="B576" s="11"/>
      <c r="C576" s="13"/>
    </row>
    <row r="577" ht="15.75" customHeight="1">
      <c r="A577" s="14"/>
      <c r="B577" s="11"/>
      <c r="C577" s="13"/>
    </row>
    <row r="578" ht="15.75" customHeight="1">
      <c r="A578" s="14"/>
      <c r="B578" s="11"/>
      <c r="C578" s="13"/>
    </row>
    <row r="579" ht="15.75" customHeight="1">
      <c r="A579" s="14"/>
      <c r="B579" s="11"/>
      <c r="C579" s="13"/>
    </row>
    <row r="580" ht="15.75" customHeight="1">
      <c r="A580" s="14"/>
      <c r="B580" s="11"/>
      <c r="C580" s="13"/>
    </row>
    <row r="581" ht="15.75" customHeight="1">
      <c r="A581" s="14"/>
      <c r="B581" s="11"/>
      <c r="C581" s="13"/>
    </row>
    <row r="582" ht="15.75" customHeight="1">
      <c r="A582" s="14"/>
      <c r="B582" s="11"/>
      <c r="C582" s="13"/>
    </row>
    <row r="583" ht="15.75" customHeight="1">
      <c r="A583" s="14"/>
      <c r="B583" s="11"/>
      <c r="C583" s="13"/>
    </row>
    <row r="584" ht="15.75" customHeight="1">
      <c r="A584" s="14"/>
      <c r="B584" s="11"/>
      <c r="C584" s="13"/>
    </row>
    <row r="585" ht="15.75" customHeight="1">
      <c r="A585" s="14"/>
      <c r="B585" s="11"/>
      <c r="C585" s="13"/>
    </row>
    <row r="586" ht="15.75" customHeight="1">
      <c r="A586" s="14"/>
      <c r="B586" s="11"/>
      <c r="C586" s="13"/>
    </row>
    <row r="587" ht="15.75" customHeight="1">
      <c r="A587" s="14"/>
      <c r="B587" s="11"/>
      <c r="C587" s="13"/>
    </row>
    <row r="588" ht="15.75" customHeight="1">
      <c r="A588" s="14"/>
      <c r="B588" s="11"/>
      <c r="C588" s="13"/>
    </row>
    <row r="589" ht="15.75" customHeight="1">
      <c r="A589" s="14"/>
      <c r="B589" s="11"/>
      <c r="C589" s="13"/>
    </row>
    <row r="590" ht="15.75" customHeight="1">
      <c r="A590" s="14"/>
      <c r="B590" s="11"/>
      <c r="C590" s="13"/>
    </row>
    <row r="591" ht="15.75" customHeight="1">
      <c r="A591" s="14"/>
      <c r="B591" s="11"/>
      <c r="C591" s="13"/>
    </row>
    <row r="592" ht="15.75" customHeight="1">
      <c r="A592" s="14"/>
      <c r="B592" s="11"/>
      <c r="C592" s="13"/>
    </row>
    <row r="593" ht="15.75" customHeight="1">
      <c r="A593" s="14"/>
      <c r="B593" s="11"/>
      <c r="C593" s="13"/>
    </row>
    <row r="594" ht="15.75" customHeight="1">
      <c r="A594" s="14"/>
      <c r="B594" s="11"/>
      <c r="C594" s="13"/>
    </row>
    <row r="595" ht="15.75" customHeight="1">
      <c r="A595" s="14"/>
      <c r="B595" s="11"/>
      <c r="C595" s="13"/>
    </row>
    <row r="596" ht="15.75" customHeight="1">
      <c r="A596" s="14"/>
      <c r="B596" s="11"/>
      <c r="C596" s="13"/>
    </row>
    <row r="597" ht="15.75" customHeight="1">
      <c r="A597" s="14"/>
      <c r="B597" s="11"/>
      <c r="C597" s="13"/>
    </row>
    <row r="598" ht="15.75" customHeight="1">
      <c r="A598" s="14"/>
      <c r="B598" s="11"/>
      <c r="C598" s="13"/>
    </row>
    <row r="599" ht="15.75" customHeight="1">
      <c r="A599" s="14"/>
      <c r="B599" s="11"/>
      <c r="C599" s="13"/>
    </row>
    <row r="600" ht="15.75" customHeight="1">
      <c r="A600" s="14"/>
      <c r="B600" s="11"/>
      <c r="C600" s="13"/>
    </row>
    <row r="601" ht="15.75" customHeight="1">
      <c r="A601" s="14"/>
      <c r="B601" s="11"/>
      <c r="C601" s="13"/>
    </row>
    <row r="602" ht="15.75" customHeight="1">
      <c r="A602" s="14"/>
      <c r="B602" s="11"/>
      <c r="C602" s="13"/>
    </row>
    <row r="603" ht="15.75" customHeight="1">
      <c r="A603" s="14"/>
      <c r="B603" s="11"/>
      <c r="C603" s="13"/>
    </row>
    <row r="604" ht="15.75" customHeight="1">
      <c r="A604" s="14"/>
      <c r="B604" s="11"/>
      <c r="C604" s="13"/>
    </row>
    <row r="605" ht="15.75" customHeight="1">
      <c r="A605" s="14"/>
      <c r="B605" s="11"/>
      <c r="C605" s="13"/>
    </row>
    <row r="606" ht="15.75" customHeight="1">
      <c r="A606" s="14"/>
      <c r="B606" s="11"/>
      <c r="C606" s="13"/>
    </row>
    <row r="607" ht="15.75" customHeight="1">
      <c r="A607" s="14"/>
      <c r="B607" s="11"/>
      <c r="C607" s="13"/>
    </row>
    <row r="608" ht="15.75" customHeight="1">
      <c r="A608" s="14"/>
      <c r="B608" s="11"/>
      <c r="C608" s="13"/>
    </row>
    <row r="609" ht="15.75" customHeight="1">
      <c r="A609" s="14"/>
      <c r="B609" s="11"/>
      <c r="C609" s="13"/>
    </row>
    <row r="610" ht="15.75" customHeight="1">
      <c r="A610" s="14"/>
      <c r="B610" s="11"/>
      <c r="C610" s="13"/>
    </row>
    <row r="611" ht="15.75" customHeight="1">
      <c r="A611" s="14"/>
      <c r="B611" s="11"/>
      <c r="C611" s="13"/>
    </row>
    <row r="612" ht="15.75" customHeight="1">
      <c r="A612" s="14"/>
      <c r="B612" s="11"/>
      <c r="C612" s="13"/>
    </row>
    <row r="613" ht="15.75" customHeight="1">
      <c r="A613" s="14"/>
      <c r="B613" s="11"/>
      <c r="C613" s="13"/>
    </row>
    <row r="614" ht="15.75" customHeight="1">
      <c r="A614" s="14"/>
      <c r="B614" s="11"/>
      <c r="C614" s="13"/>
    </row>
    <row r="615" ht="15.75" customHeight="1">
      <c r="A615" s="14"/>
      <c r="B615" s="11"/>
      <c r="C615" s="13"/>
    </row>
    <row r="616" ht="15.75" customHeight="1">
      <c r="A616" s="14"/>
      <c r="B616" s="11"/>
      <c r="C616" s="13"/>
    </row>
    <row r="617" ht="15.75" customHeight="1">
      <c r="A617" s="14"/>
      <c r="B617" s="11"/>
      <c r="C617" s="13"/>
    </row>
    <row r="618" ht="15.75" customHeight="1">
      <c r="A618" s="14"/>
      <c r="B618" s="11"/>
      <c r="C618" s="13"/>
    </row>
    <row r="619" ht="15.75" customHeight="1">
      <c r="A619" s="14"/>
      <c r="B619" s="11"/>
      <c r="C619" s="13"/>
    </row>
    <row r="620" ht="15.75" customHeight="1">
      <c r="A620" s="14"/>
      <c r="B620" s="11"/>
      <c r="C620" s="13"/>
    </row>
    <row r="621" ht="15.75" customHeight="1">
      <c r="A621" s="14"/>
      <c r="B621" s="11"/>
      <c r="C621" s="13"/>
    </row>
    <row r="622" ht="15.75" customHeight="1">
      <c r="A622" s="14"/>
      <c r="B622" s="11"/>
      <c r="C622" s="13"/>
    </row>
    <row r="623" ht="15.75" customHeight="1">
      <c r="A623" s="14"/>
      <c r="B623" s="11"/>
      <c r="C623" s="13"/>
    </row>
    <row r="624" ht="15.75" customHeight="1">
      <c r="A624" s="14"/>
      <c r="B624" s="11"/>
      <c r="C624" s="13"/>
    </row>
    <row r="625" ht="15.75" customHeight="1">
      <c r="A625" s="14"/>
      <c r="B625" s="11"/>
      <c r="C625" s="13"/>
    </row>
    <row r="626" ht="15.75" customHeight="1">
      <c r="A626" s="14"/>
      <c r="B626" s="11"/>
      <c r="C626" s="13"/>
    </row>
    <row r="627" ht="15.75" customHeight="1">
      <c r="A627" s="14"/>
      <c r="B627" s="11"/>
      <c r="C627" s="13"/>
    </row>
    <row r="628" ht="15.75" customHeight="1">
      <c r="A628" s="14"/>
      <c r="B628" s="11"/>
      <c r="C628" s="13"/>
    </row>
    <row r="629" ht="15.75" customHeight="1">
      <c r="A629" s="14"/>
      <c r="B629" s="11"/>
      <c r="C629" s="13"/>
    </row>
    <row r="630" ht="15.75" customHeight="1">
      <c r="A630" s="14"/>
      <c r="B630" s="11"/>
      <c r="C630" s="13"/>
    </row>
    <row r="631" ht="15.75" customHeight="1">
      <c r="A631" s="14"/>
      <c r="B631" s="11"/>
      <c r="C631" s="13"/>
    </row>
    <row r="632" ht="15.75" customHeight="1">
      <c r="A632" s="14"/>
      <c r="B632" s="11"/>
      <c r="C632" s="13"/>
    </row>
    <row r="633" ht="15.75" customHeight="1">
      <c r="A633" s="14"/>
      <c r="B633" s="11"/>
      <c r="C633" s="13"/>
    </row>
    <row r="634" ht="15.75" customHeight="1">
      <c r="A634" s="14"/>
      <c r="B634" s="11"/>
      <c r="C634" s="13"/>
    </row>
    <row r="635" ht="15.75" customHeight="1">
      <c r="A635" s="14"/>
      <c r="B635" s="11"/>
      <c r="C635" s="13"/>
    </row>
    <row r="636" ht="15.75" customHeight="1">
      <c r="A636" s="14"/>
      <c r="B636" s="11"/>
      <c r="C636" s="13"/>
    </row>
    <row r="637" ht="15.75" customHeight="1">
      <c r="A637" s="14"/>
      <c r="B637" s="11"/>
      <c r="C637" s="13"/>
    </row>
    <row r="638" ht="15.75" customHeight="1">
      <c r="A638" s="14"/>
      <c r="B638" s="11"/>
      <c r="C638" s="13"/>
    </row>
    <row r="639" ht="15.75" customHeight="1">
      <c r="A639" s="14"/>
      <c r="B639" s="11"/>
      <c r="C639" s="13"/>
    </row>
    <row r="640" ht="15.75" customHeight="1">
      <c r="A640" s="14"/>
      <c r="B640" s="11"/>
      <c r="C640" s="13"/>
    </row>
    <row r="641" ht="15.75" customHeight="1">
      <c r="A641" s="14"/>
      <c r="B641" s="11"/>
      <c r="C641" s="13"/>
    </row>
    <row r="642" ht="15.75" customHeight="1">
      <c r="A642" s="14"/>
      <c r="B642" s="11"/>
      <c r="C642" s="13"/>
    </row>
    <row r="643" ht="15.75" customHeight="1">
      <c r="A643" s="14"/>
      <c r="B643" s="11"/>
      <c r="C643" s="13"/>
    </row>
    <row r="644" ht="15.75" customHeight="1">
      <c r="A644" s="14"/>
      <c r="B644" s="11"/>
      <c r="C644" s="13"/>
    </row>
    <row r="645" ht="15.75" customHeight="1">
      <c r="A645" s="14"/>
      <c r="B645" s="11"/>
      <c r="C645" s="13"/>
    </row>
    <row r="646" ht="15.75" customHeight="1">
      <c r="A646" s="14"/>
      <c r="B646" s="11"/>
      <c r="C646" s="13"/>
    </row>
    <row r="647" ht="15.75" customHeight="1">
      <c r="A647" s="14"/>
      <c r="B647" s="11"/>
      <c r="C647" s="13"/>
    </row>
    <row r="648" ht="15.75" customHeight="1">
      <c r="A648" s="14"/>
      <c r="B648" s="11"/>
      <c r="C648" s="13"/>
    </row>
    <row r="649" ht="15.75" customHeight="1">
      <c r="A649" s="14"/>
      <c r="B649" s="11"/>
      <c r="C649" s="13"/>
    </row>
    <row r="650" ht="15.75" customHeight="1">
      <c r="A650" s="14"/>
      <c r="B650" s="11"/>
      <c r="C650" s="13"/>
    </row>
    <row r="651" ht="15.75" customHeight="1">
      <c r="A651" s="14"/>
      <c r="B651" s="11"/>
      <c r="C651" s="13"/>
    </row>
    <row r="652" ht="15.75" customHeight="1">
      <c r="A652" s="14"/>
      <c r="B652" s="11"/>
      <c r="C652" s="13"/>
    </row>
    <row r="653" ht="15.75" customHeight="1">
      <c r="A653" s="14"/>
      <c r="B653" s="11"/>
      <c r="C653" s="13"/>
    </row>
    <row r="654" ht="15.75" customHeight="1">
      <c r="A654" s="14"/>
      <c r="B654" s="11"/>
      <c r="C654" s="13"/>
    </row>
    <row r="655" ht="15.75" customHeight="1">
      <c r="A655" s="14"/>
      <c r="B655" s="11"/>
      <c r="C655" s="13"/>
    </row>
    <row r="656" ht="15.75" customHeight="1">
      <c r="A656" s="14"/>
      <c r="B656" s="11"/>
      <c r="C656" s="13"/>
    </row>
    <row r="657" ht="15.75" customHeight="1">
      <c r="A657" s="14"/>
      <c r="B657" s="11"/>
      <c r="C657" s="13"/>
    </row>
    <row r="658" ht="15.75" customHeight="1">
      <c r="A658" s="14"/>
      <c r="B658" s="11"/>
      <c r="C658" s="13"/>
    </row>
    <row r="659" ht="15.75" customHeight="1">
      <c r="A659" s="14"/>
      <c r="B659" s="11"/>
      <c r="C659" s="13"/>
    </row>
    <row r="660" ht="15.75" customHeight="1">
      <c r="A660" s="14"/>
      <c r="B660" s="11"/>
      <c r="C660" s="13"/>
    </row>
    <row r="661" ht="15.75" customHeight="1">
      <c r="A661" s="14"/>
      <c r="B661" s="11"/>
      <c r="C661" s="13"/>
    </row>
    <row r="662" ht="15.75" customHeight="1">
      <c r="A662" s="14"/>
      <c r="B662" s="11"/>
      <c r="C662" s="13"/>
    </row>
    <row r="663" ht="15.75" customHeight="1">
      <c r="A663" s="14"/>
      <c r="B663" s="11"/>
      <c r="C663" s="13"/>
    </row>
    <row r="664" ht="15.75" customHeight="1">
      <c r="A664" s="14"/>
      <c r="B664" s="11"/>
      <c r="C664" s="13"/>
    </row>
    <row r="665" ht="15.75" customHeight="1">
      <c r="A665" s="14"/>
      <c r="B665" s="11"/>
      <c r="C665" s="13"/>
    </row>
    <row r="666" ht="15.75" customHeight="1">
      <c r="A666" s="14"/>
      <c r="B666" s="11"/>
      <c r="C666" s="13"/>
    </row>
    <row r="667" ht="15.75" customHeight="1">
      <c r="A667" s="14"/>
      <c r="B667" s="11"/>
      <c r="C667" s="13"/>
    </row>
    <row r="668" ht="15.75" customHeight="1">
      <c r="A668" s="14"/>
      <c r="B668" s="11"/>
      <c r="C668" s="13"/>
    </row>
    <row r="669" ht="15.75" customHeight="1">
      <c r="A669" s="14"/>
      <c r="B669" s="11"/>
      <c r="C669" s="13"/>
    </row>
    <row r="670" ht="15.75" customHeight="1">
      <c r="A670" s="14"/>
      <c r="B670" s="11"/>
      <c r="C670" s="13"/>
    </row>
    <row r="671" ht="15.75" customHeight="1">
      <c r="A671" s="14"/>
      <c r="B671" s="11"/>
      <c r="C671" s="13"/>
    </row>
    <row r="672" ht="15.75" customHeight="1">
      <c r="A672" s="14"/>
      <c r="B672" s="11"/>
      <c r="C672" s="13"/>
    </row>
    <row r="673" ht="15.75" customHeight="1">
      <c r="A673" s="14"/>
      <c r="B673" s="11"/>
      <c r="C673" s="13"/>
    </row>
    <row r="674" ht="15.75" customHeight="1">
      <c r="A674" s="14"/>
      <c r="B674" s="11"/>
      <c r="C674" s="13"/>
    </row>
    <row r="675" ht="15.75" customHeight="1">
      <c r="A675" s="14"/>
      <c r="B675" s="11"/>
      <c r="C675" s="13"/>
    </row>
    <row r="676" ht="15.75" customHeight="1">
      <c r="A676" s="14"/>
      <c r="B676" s="11"/>
      <c r="C676" s="13"/>
    </row>
    <row r="677" ht="15.75" customHeight="1">
      <c r="A677" s="14"/>
      <c r="B677" s="11"/>
      <c r="C677" s="13"/>
    </row>
    <row r="678" ht="15.75" customHeight="1">
      <c r="A678" s="14"/>
      <c r="B678" s="11"/>
      <c r="C678" s="13"/>
    </row>
    <row r="679" ht="15.75" customHeight="1">
      <c r="A679" s="14"/>
      <c r="B679" s="11"/>
      <c r="C679" s="13"/>
    </row>
    <row r="680" ht="15.75" customHeight="1">
      <c r="A680" s="14"/>
      <c r="B680" s="11"/>
      <c r="C680" s="13"/>
    </row>
    <row r="681" ht="15.75" customHeight="1">
      <c r="A681" s="14"/>
      <c r="B681" s="11"/>
      <c r="C681" s="13"/>
    </row>
    <row r="682" ht="15.75" customHeight="1">
      <c r="A682" s="14"/>
      <c r="B682" s="11"/>
      <c r="C682" s="13"/>
    </row>
    <row r="683" ht="15.75" customHeight="1">
      <c r="A683" s="14"/>
      <c r="B683" s="11"/>
      <c r="C683" s="13"/>
    </row>
    <row r="684" ht="15.75" customHeight="1">
      <c r="A684" s="14"/>
      <c r="B684" s="11"/>
      <c r="C684" s="13"/>
    </row>
    <row r="685" ht="15.75" customHeight="1">
      <c r="A685" s="14"/>
      <c r="B685" s="11"/>
      <c r="C685" s="13"/>
    </row>
    <row r="686" ht="15.75" customHeight="1">
      <c r="A686" s="14"/>
      <c r="B686" s="11"/>
      <c r="C686" s="13"/>
    </row>
    <row r="687" ht="15.75" customHeight="1">
      <c r="A687" s="14"/>
      <c r="B687" s="11"/>
      <c r="C687" s="13"/>
    </row>
    <row r="688" ht="15.75" customHeight="1">
      <c r="A688" s="14"/>
      <c r="B688" s="11"/>
      <c r="C688" s="13"/>
    </row>
    <row r="689" ht="15.75" customHeight="1">
      <c r="A689" s="14"/>
      <c r="B689" s="11"/>
      <c r="C689" s="13"/>
    </row>
    <row r="690" ht="15.75" customHeight="1">
      <c r="A690" s="14"/>
      <c r="B690" s="11"/>
      <c r="C690" s="13"/>
    </row>
    <row r="691" ht="15.75" customHeight="1">
      <c r="A691" s="14"/>
      <c r="B691" s="11"/>
      <c r="C691" s="13"/>
    </row>
    <row r="692" ht="15.75" customHeight="1">
      <c r="A692" s="14"/>
      <c r="B692" s="11"/>
      <c r="C692" s="13"/>
    </row>
    <row r="693" ht="15.75" customHeight="1">
      <c r="A693" s="14"/>
      <c r="B693" s="11"/>
      <c r="C693" s="13"/>
    </row>
    <row r="694" ht="15.75" customHeight="1">
      <c r="A694" s="14"/>
      <c r="B694" s="11"/>
      <c r="C694" s="13"/>
    </row>
    <row r="695" ht="15.75" customHeight="1">
      <c r="A695" s="14"/>
      <c r="B695" s="11"/>
      <c r="C695" s="13"/>
    </row>
    <row r="696" ht="15.75" customHeight="1">
      <c r="A696" s="14"/>
      <c r="B696" s="11"/>
      <c r="C696" s="13"/>
    </row>
    <row r="697" ht="15.75" customHeight="1">
      <c r="A697" s="14"/>
      <c r="B697" s="11"/>
      <c r="C697" s="13"/>
    </row>
    <row r="698" ht="15.75" customHeight="1">
      <c r="A698" s="14"/>
      <c r="B698" s="11"/>
      <c r="C698" s="13"/>
    </row>
    <row r="699" ht="15.75" customHeight="1">
      <c r="A699" s="14"/>
      <c r="B699" s="11"/>
      <c r="C699" s="13"/>
    </row>
    <row r="700" ht="15.75" customHeight="1">
      <c r="A700" s="14"/>
      <c r="B700" s="11"/>
      <c r="C700" s="13"/>
    </row>
    <row r="701" ht="15.75" customHeight="1">
      <c r="A701" s="14"/>
      <c r="B701" s="11"/>
      <c r="C701" s="13"/>
    </row>
    <row r="702" ht="15.75" customHeight="1">
      <c r="A702" s="14"/>
      <c r="B702" s="11"/>
      <c r="C702" s="13"/>
    </row>
    <row r="703" ht="15.75" customHeight="1">
      <c r="A703" s="14"/>
      <c r="B703" s="11"/>
      <c r="C703" s="13"/>
    </row>
    <row r="704" ht="15.75" customHeight="1">
      <c r="A704" s="14"/>
      <c r="B704" s="11"/>
      <c r="C704" s="13"/>
    </row>
    <row r="705" ht="15.75" customHeight="1">
      <c r="A705" s="14"/>
      <c r="B705" s="11"/>
      <c r="C705" s="13"/>
    </row>
    <row r="706" ht="15.75" customHeight="1">
      <c r="A706" s="14"/>
      <c r="B706" s="11"/>
      <c r="C706" s="13"/>
    </row>
    <row r="707" ht="15.75" customHeight="1">
      <c r="A707" s="14"/>
      <c r="B707" s="11"/>
      <c r="C707" s="13"/>
    </row>
    <row r="708" ht="15.75" customHeight="1">
      <c r="A708" s="14"/>
      <c r="B708" s="11"/>
      <c r="C708" s="13"/>
    </row>
    <row r="709" ht="15.75" customHeight="1">
      <c r="A709" s="14"/>
      <c r="B709" s="11"/>
      <c r="C709" s="13"/>
    </row>
    <row r="710" ht="15.75" customHeight="1">
      <c r="A710" s="14"/>
      <c r="B710" s="11"/>
      <c r="C710" s="13"/>
    </row>
    <row r="711" ht="15.75" customHeight="1">
      <c r="A711" s="14"/>
      <c r="B711" s="11"/>
      <c r="C711" s="13"/>
    </row>
    <row r="712" ht="15.75" customHeight="1">
      <c r="A712" s="14"/>
      <c r="B712" s="11"/>
      <c r="C712" s="13"/>
    </row>
    <row r="713" ht="15.75" customHeight="1">
      <c r="A713" s="14"/>
      <c r="B713" s="11"/>
      <c r="C713" s="13"/>
    </row>
    <row r="714" ht="15.75" customHeight="1">
      <c r="A714" s="14"/>
      <c r="B714" s="11"/>
      <c r="C714" s="13"/>
    </row>
    <row r="715" ht="15.75" customHeight="1">
      <c r="A715" s="14"/>
      <c r="B715" s="11"/>
      <c r="C715" s="13"/>
    </row>
    <row r="716" ht="15.75" customHeight="1">
      <c r="A716" s="14"/>
      <c r="B716" s="11"/>
      <c r="C716" s="13"/>
    </row>
    <row r="717" ht="15.75" customHeight="1">
      <c r="A717" s="14"/>
      <c r="B717" s="11"/>
      <c r="C717" s="13"/>
    </row>
    <row r="718" ht="15.75" customHeight="1">
      <c r="A718" s="14"/>
      <c r="B718" s="11"/>
      <c r="C718" s="13"/>
    </row>
    <row r="719" ht="15.75" customHeight="1">
      <c r="A719" s="14"/>
      <c r="B719" s="11"/>
      <c r="C719" s="13"/>
    </row>
    <row r="720" ht="15.75" customHeight="1">
      <c r="A720" s="14"/>
      <c r="B720" s="11"/>
      <c r="C720" s="13"/>
    </row>
    <row r="721" ht="15.75" customHeight="1">
      <c r="A721" s="14"/>
      <c r="B721" s="11"/>
      <c r="C721" s="13"/>
    </row>
    <row r="722" ht="15.75" customHeight="1">
      <c r="A722" s="14"/>
      <c r="B722" s="11"/>
      <c r="C722" s="13"/>
    </row>
    <row r="723" ht="15.75" customHeight="1">
      <c r="A723" s="14"/>
      <c r="B723" s="11"/>
      <c r="C723" s="13"/>
    </row>
    <row r="724" ht="15.75" customHeight="1">
      <c r="A724" s="14"/>
      <c r="B724" s="11"/>
      <c r="C724" s="13"/>
    </row>
    <row r="725" ht="15.75" customHeight="1">
      <c r="A725" s="14"/>
      <c r="B725" s="11"/>
      <c r="C725" s="13"/>
    </row>
    <row r="726" ht="15.75" customHeight="1">
      <c r="A726" s="14"/>
      <c r="B726" s="11"/>
      <c r="C726" s="13"/>
    </row>
    <row r="727" ht="15.75" customHeight="1">
      <c r="A727" s="14"/>
      <c r="B727" s="11"/>
      <c r="C727" s="13"/>
    </row>
    <row r="728" ht="15.75" customHeight="1">
      <c r="A728" s="14"/>
      <c r="B728" s="11"/>
      <c r="C728" s="13"/>
    </row>
    <row r="729" ht="15.75" customHeight="1">
      <c r="A729" s="14"/>
      <c r="B729" s="11"/>
      <c r="C729" s="13"/>
    </row>
    <row r="730" ht="15.75" customHeight="1">
      <c r="A730" s="14"/>
      <c r="B730" s="11"/>
      <c r="C730" s="13"/>
    </row>
    <row r="731" ht="15.75" customHeight="1">
      <c r="A731" s="14"/>
      <c r="B731" s="11"/>
      <c r="C731" s="13"/>
    </row>
    <row r="732" ht="15.75" customHeight="1">
      <c r="A732" s="14"/>
      <c r="B732" s="11"/>
      <c r="C732" s="13"/>
    </row>
    <row r="733" ht="15.75" customHeight="1">
      <c r="A733" s="14"/>
      <c r="B733" s="11"/>
      <c r="C733" s="13"/>
    </row>
    <row r="734" ht="15.75" customHeight="1">
      <c r="A734" s="14"/>
      <c r="B734" s="11"/>
      <c r="C734" s="13"/>
    </row>
    <row r="735" ht="15.75" customHeight="1">
      <c r="A735" s="14"/>
      <c r="B735" s="11"/>
      <c r="C735" s="13"/>
    </row>
    <row r="736" ht="15.75" customHeight="1">
      <c r="A736" s="14"/>
      <c r="B736" s="11"/>
      <c r="C736" s="13"/>
    </row>
    <row r="737" ht="15.75" customHeight="1">
      <c r="A737" s="14"/>
      <c r="B737" s="11"/>
      <c r="C737" s="13"/>
    </row>
    <row r="738" ht="15.75" customHeight="1">
      <c r="A738" s="14"/>
      <c r="B738" s="11"/>
      <c r="C738" s="13"/>
    </row>
    <row r="739" ht="15.75" customHeight="1">
      <c r="A739" s="14"/>
      <c r="B739" s="11"/>
      <c r="C739" s="13"/>
    </row>
    <row r="740" ht="15.75" customHeight="1">
      <c r="A740" s="14"/>
      <c r="B740" s="11"/>
      <c r="C740" s="13"/>
    </row>
    <row r="741" ht="15.75" customHeight="1">
      <c r="A741" s="14"/>
      <c r="B741" s="11"/>
      <c r="C741" s="13"/>
    </row>
    <row r="742" ht="15.75" customHeight="1">
      <c r="A742" s="14"/>
      <c r="B742" s="11"/>
      <c r="C742" s="13"/>
    </row>
    <row r="743" ht="15.75" customHeight="1">
      <c r="A743" s="14"/>
      <c r="B743" s="11"/>
      <c r="C743" s="13"/>
    </row>
    <row r="744" ht="15.75" customHeight="1">
      <c r="A744" s="14"/>
      <c r="B744" s="11"/>
      <c r="C744" s="13"/>
    </row>
    <row r="745" ht="15.75" customHeight="1">
      <c r="A745" s="14"/>
      <c r="B745" s="11"/>
      <c r="C745" s="13"/>
    </row>
    <row r="746" ht="15.75" customHeight="1">
      <c r="A746" s="14"/>
      <c r="B746" s="11"/>
      <c r="C746" s="13"/>
    </row>
    <row r="747" ht="15.75" customHeight="1">
      <c r="A747" s="14"/>
      <c r="B747" s="11"/>
      <c r="C747" s="13"/>
    </row>
    <row r="748" ht="15.75" customHeight="1">
      <c r="A748" s="14"/>
      <c r="B748" s="11"/>
      <c r="C748" s="13"/>
    </row>
    <row r="749" ht="15.75" customHeight="1">
      <c r="A749" s="14"/>
      <c r="B749" s="11"/>
      <c r="C749" s="13"/>
    </row>
    <row r="750" ht="15.75" customHeight="1">
      <c r="A750" s="14"/>
      <c r="B750" s="11"/>
      <c r="C750" s="13"/>
    </row>
    <row r="751" ht="15.75" customHeight="1">
      <c r="A751" s="14"/>
      <c r="B751" s="11"/>
      <c r="C751" s="13"/>
    </row>
    <row r="752" ht="15.75" customHeight="1">
      <c r="A752" s="14"/>
      <c r="B752" s="11"/>
      <c r="C752" s="13"/>
    </row>
    <row r="753" ht="15.75" customHeight="1">
      <c r="A753" s="14"/>
      <c r="B753" s="11"/>
      <c r="C753" s="13"/>
    </row>
    <row r="754" ht="15.75" customHeight="1">
      <c r="A754" s="14"/>
      <c r="B754" s="11"/>
      <c r="C754" s="13"/>
    </row>
    <row r="755" ht="15.75" customHeight="1">
      <c r="A755" s="14"/>
      <c r="B755" s="11"/>
      <c r="C755" s="13"/>
    </row>
    <row r="756" ht="15.75" customHeight="1">
      <c r="A756" s="14"/>
      <c r="B756" s="11"/>
      <c r="C756" s="13"/>
    </row>
    <row r="757" ht="15.75" customHeight="1">
      <c r="A757" s="14"/>
      <c r="B757" s="11"/>
      <c r="C757" s="13"/>
    </row>
    <row r="758" ht="15.75" customHeight="1">
      <c r="A758" s="14"/>
      <c r="B758" s="11"/>
      <c r="C758" s="13"/>
    </row>
    <row r="759" ht="15.75" customHeight="1">
      <c r="A759" s="14"/>
      <c r="B759" s="11"/>
      <c r="C759" s="13"/>
    </row>
    <row r="760" ht="15.75" customHeight="1">
      <c r="A760" s="14"/>
      <c r="B760" s="11"/>
      <c r="C760" s="13"/>
    </row>
    <row r="761" ht="15.75" customHeight="1">
      <c r="A761" s="14"/>
      <c r="B761" s="11"/>
      <c r="C761" s="13"/>
    </row>
    <row r="762" ht="15.75" customHeight="1">
      <c r="A762" s="14"/>
      <c r="B762" s="11"/>
      <c r="C762" s="13"/>
    </row>
    <row r="763" ht="15.75" customHeight="1">
      <c r="A763" s="14"/>
      <c r="B763" s="11"/>
      <c r="C763" s="13"/>
    </row>
    <row r="764" ht="15.75" customHeight="1">
      <c r="A764" s="14"/>
      <c r="B764" s="11"/>
      <c r="C764" s="13"/>
    </row>
    <row r="765" ht="15.75" customHeight="1">
      <c r="A765" s="14"/>
      <c r="B765" s="11"/>
      <c r="C765" s="13"/>
    </row>
    <row r="766" ht="15.75" customHeight="1">
      <c r="A766" s="14"/>
      <c r="B766" s="11"/>
      <c r="C766" s="13"/>
    </row>
    <row r="767" ht="15.75" customHeight="1">
      <c r="A767" s="14"/>
      <c r="B767" s="11"/>
      <c r="C767" s="13"/>
    </row>
    <row r="768" ht="15.75" customHeight="1">
      <c r="A768" s="14"/>
      <c r="B768" s="11"/>
      <c r="C768" s="13"/>
    </row>
    <row r="769" ht="15.75" customHeight="1">
      <c r="A769" s="14"/>
      <c r="B769" s="11"/>
      <c r="C769" s="13"/>
    </row>
    <row r="770" ht="15.75" customHeight="1">
      <c r="A770" s="14"/>
      <c r="B770" s="11"/>
      <c r="C770" s="13"/>
    </row>
    <row r="771" ht="15.75" customHeight="1">
      <c r="A771" s="14"/>
      <c r="B771" s="11"/>
      <c r="C771" s="13"/>
    </row>
    <row r="772" ht="15.75" customHeight="1">
      <c r="A772" s="14"/>
      <c r="B772" s="11"/>
      <c r="C772" s="13"/>
    </row>
    <row r="773" ht="15.75" customHeight="1">
      <c r="A773" s="14"/>
      <c r="B773" s="11"/>
      <c r="C773" s="13"/>
    </row>
    <row r="774" ht="15.75" customHeight="1">
      <c r="A774" s="14"/>
      <c r="B774" s="11"/>
      <c r="C774" s="13"/>
    </row>
    <row r="775" ht="15.75" customHeight="1">
      <c r="A775" s="14"/>
      <c r="B775" s="11"/>
      <c r="C775" s="13"/>
    </row>
    <row r="776" ht="15.75" customHeight="1">
      <c r="A776" s="14"/>
      <c r="B776" s="11"/>
      <c r="C776" s="13"/>
    </row>
    <row r="777" ht="15.75" customHeight="1">
      <c r="A777" s="14"/>
      <c r="B777" s="11"/>
      <c r="C777" s="13"/>
    </row>
    <row r="778" ht="15.75" customHeight="1">
      <c r="A778" s="14"/>
      <c r="B778" s="11"/>
      <c r="C778" s="13"/>
    </row>
    <row r="779" ht="15.75" customHeight="1">
      <c r="A779" s="14"/>
      <c r="B779" s="11"/>
      <c r="C779" s="13"/>
    </row>
    <row r="780" ht="15.75" customHeight="1">
      <c r="A780" s="14"/>
      <c r="B780" s="11"/>
      <c r="C780" s="13"/>
    </row>
    <row r="781" ht="15.75" customHeight="1">
      <c r="A781" s="14"/>
      <c r="B781" s="11"/>
      <c r="C781" s="13"/>
    </row>
    <row r="782" ht="15.75" customHeight="1">
      <c r="A782" s="14"/>
      <c r="B782" s="11"/>
      <c r="C782" s="13"/>
    </row>
    <row r="783" ht="15.75" customHeight="1">
      <c r="A783" s="14"/>
      <c r="B783" s="11"/>
      <c r="C783" s="13"/>
    </row>
    <row r="784" ht="15.75" customHeight="1">
      <c r="A784" s="14"/>
      <c r="B784" s="11"/>
      <c r="C784" s="13"/>
    </row>
    <row r="785" ht="15.75" customHeight="1">
      <c r="A785" s="14"/>
      <c r="B785" s="11"/>
      <c r="C785" s="13"/>
    </row>
    <row r="786" ht="15.75" customHeight="1">
      <c r="A786" s="14"/>
      <c r="B786" s="11"/>
      <c r="C786" s="13"/>
    </row>
    <row r="787" ht="15.75" customHeight="1">
      <c r="A787" s="14"/>
      <c r="B787" s="11"/>
      <c r="C787" s="13"/>
    </row>
    <row r="788" ht="15.75" customHeight="1">
      <c r="A788" s="14"/>
      <c r="B788" s="11"/>
      <c r="C788" s="13"/>
    </row>
    <row r="789" ht="15.75" customHeight="1">
      <c r="A789" s="14"/>
      <c r="B789" s="11"/>
      <c r="C789" s="13"/>
    </row>
    <row r="790" ht="15.75" customHeight="1">
      <c r="A790" s="14"/>
      <c r="B790" s="11"/>
      <c r="C790" s="13"/>
    </row>
    <row r="791" ht="15.75" customHeight="1">
      <c r="A791" s="14"/>
      <c r="B791" s="11"/>
      <c r="C791" s="13"/>
    </row>
    <row r="792" ht="15.75" customHeight="1">
      <c r="A792" s="14"/>
      <c r="B792" s="11"/>
      <c r="C792" s="13"/>
    </row>
    <row r="793" ht="15.75" customHeight="1">
      <c r="A793" s="14"/>
      <c r="B793" s="11"/>
      <c r="C793" s="13"/>
    </row>
    <row r="794" ht="15.75" customHeight="1">
      <c r="A794" s="14"/>
      <c r="B794" s="11"/>
      <c r="C794" s="13"/>
    </row>
    <row r="795" ht="15.75" customHeight="1">
      <c r="A795" s="14"/>
      <c r="B795" s="11"/>
      <c r="C795" s="13"/>
    </row>
    <row r="796" ht="15.75" customHeight="1">
      <c r="A796" s="14"/>
      <c r="B796" s="11"/>
      <c r="C796" s="13"/>
    </row>
    <row r="797" ht="15.75" customHeight="1">
      <c r="A797" s="14"/>
      <c r="B797" s="11"/>
      <c r="C797" s="13"/>
    </row>
    <row r="798" ht="15.75" customHeight="1">
      <c r="A798" s="14"/>
      <c r="B798" s="11"/>
      <c r="C798" s="13"/>
    </row>
    <row r="799" ht="15.75" customHeight="1">
      <c r="A799" s="14"/>
      <c r="B799" s="11"/>
      <c r="C799" s="13"/>
    </row>
    <row r="800" ht="15.75" customHeight="1">
      <c r="A800" s="14"/>
      <c r="B800" s="11"/>
      <c r="C800" s="13"/>
    </row>
    <row r="801" ht="15.75" customHeight="1">
      <c r="A801" s="14"/>
      <c r="B801" s="11"/>
      <c r="C801" s="13"/>
    </row>
    <row r="802" ht="15.75" customHeight="1">
      <c r="A802" s="14"/>
      <c r="B802" s="11"/>
      <c r="C802" s="13"/>
    </row>
    <row r="803" ht="15.75" customHeight="1">
      <c r="A803" s="14"/>
      <c r="B803" s="11"/>
      <c r="C803" s="13"/>
    </row>
    <row r="804" ht="15.75" customHeight="1">
      <c r="A804" s="14"/>
      <c r="B804" s="11"/>
      <c r="C804" s="13"/>
    </row>
    <row r="805" ht="15.75" customHeight="1">
      <c r="A805" s="14"/>
      <c r="B805" s="11"/>
      <c r="C805" s="13"/>
    </row>
    <row r="806" ht="15.75" customHeight="1">
      <c r="A806" s="14"/>
      <c r="B806" s="11"/>
      <c r="C806" s="13"/>
    </row>
    <row r="807" ht="15.75" customHeight="1">
      <c r="A807" s="14"/>
      <c r="B807" s="11"/>
      <c r="C807" s="13"/>
    </row>
    <row r="808" ht="15.75" customHeight="1">
      <c r="A808" s="14"/>
      <c r="B808" s="11"/>
      <c r="C808" s="13"/>
    </row>
    <row r="809" ht="15.75" customHeight="1">
      <c r="A809" s="14"/>
      <c r="B809" s="11"/>
      <c r="C809" s="13"/>
    </row>
    <row r="810" ht="15.75" customHeight="1">
      <c r="A810" s="14"/>
      <c r="B810" s="11"/>
      <c r="C810" s="13"/>
    </row>
    <row r="811" ht="15.75" customHeight="1">
      <c r="A811" s="14"/>
      <c r="B811" s="11"/>
      <c r="C811" s="13"/>
    </row>
    <row r="812" ht="15.75" customHeight="1">
      <c r="A812" s="14"/>
      <c r="B812" s="11"/>
      <c r="C812" s="13"/>
    </row>
    <row r="813" ht="15.75" customHeight="1">
      <c r="A813" s="14"/>
      <c r="B813" s="11"/>
      <c r="C813" s="13"/>
    </row>
    <row r="814" ht="15.75" customHeight="1">
      <c r="A814" s="14"/>
      <c r="B814" s="11"/>
      <c r="C814" s="13"/>
    </row>
    <row r="815" ht="15.75" customHeight="1">
      <c r="A815" s="14"/>
      <c r="B815" s="11"/>
      <c r="C815" s="13"/>
    </row>
    <row r="816" ht="15.75" customHeight="1">
      <c r="A816" s="14"/>
      <c r="B816" s="11"/>
      <c r="C816" s="13"/>
    </row>
    <row r="817" ht="15.75" customHeight="1">
      <c r="A817" s="14"/>
      <c r="B817" s="11"/>
      <c r="C817" s="13"/>
    </row>
    <row r="818" ht="15.75" customHeight="1">
      <c r="A818" s="14"/>
      <c r="B818" s="11"/>
      <c r="C818" s="13"/>
    </row>
    <row r="819" ht="15.75" customHeight="1">
      <c r="A819" s="14"/>
      <c r="B819" s="11"/>
      <c r="C819" s="13"/>
    </row>
    <row r="820" ht="15.75" customHeight="1">
      <c r="A820" s="14"/>
      <c r="B820" s="11"/>
      <c r="C820" s="13"/>
    </row>
    <row r="821" ht="15.75" customHeight="1">
      <c r="A821" s="14"/>
      <c r="B821" s="11"/>
      <c r="C821" s="13"/>
    </row>
    <row r="822" ht="15.75" customHeight="1">
      <c r="A822" s="14"/>
      <c r="B822" s="11"/>
      <c r="C822" s="13"/>
    </row>
    <row r="823" ht="15.75" customHeight="1">
      <c r="A823" s="14"/>
      <c r="B823" s="11"/>
      <c r="C823" s="13"/>
    </row>
    <row r="824" ht="15.75" customHeight="1">
      <c r="A824" s="14"/>
      <c r="B824" s="11"/>
      <c r="C824" s="13"/>
    </row>
    <row r="825" ht="15.75" customHeight="1">
      <c r="A825" s="14"/>
      <c r="B825" s="11"/>
      <c r="C825" s="13"/>
    </row>
    <row r="826" ht="15.75" customHeight="1">
      <c r="A826" s="14"/>
      <c r="B826" s="11"/>
      <c r="C826" s="13"/>
    </row>
    <row r="827" ht="15.75" customHeight="1">
      <c r="A827" s="14"/>
      <c r="B827" s="11"/>
      <c r="C827" s="13"/>
    </row>
    <row r="828" ht="15.75" customHeight="1">
      <c r="A828" s="14"/>
      <c r="B828" s="11"/>
      <c r="C828" s="13"/>
    </row>
    <row r="829" ht="15.75" customHeight="1">
      <c r="A829" s="14"/>
      <c r="B829" s="11"/>
      <c r="C829" s="13"/>
    </row>
    <row r="830" ht="15.75" customHeight="1">
      <c r="A830" s="14"/>
      <c r="B830" s="11"/>
      <c r="C830" s="13"/>
    </row>
    <row r="831" ht="15.75" customHeight="1">
      <c r="A831" s="14"/>
      <c r="B831" s="11"/>
      <c r="C831" s="13"/>
    </row>
    <row r="832" ht="15.75" customHeight="1">
      <c r="A832" s="14"/>
      <c r="B832" s="11"/>
      <c r="C832" s="13"/>
    </row>
    <row r="833" ht="15.75" customHeight="1">
      <c r="A833" s="14"/>
      <c r="B833" s="11"/>
      <c r="C833" s="13"/>
    </row>
    <row r="834" ht="15.75" customHeight="1">
      <c r="A834" s="14"/>
      <c r="B834" s="11"/>
      <c r="C834" s="13"/>
    </row>
    <row r="835" ht="15.75" customHeight="1">
      <c r="A835" s="14"/>
      <c r="B835" s="11"/>
      <c r="C835" s="13"/>
    </row>
    <row r="836" ht="15.75" customHeight="1">
      <c r="A836" s="14"/>
      <c r="B836" s="11"/>
      <c r="C836" s="13"/>
    </row>
    <row r="837" ht="15.75" customHeight="1">
      <c r="A837" s="14"/>
      <c r="B837" s="11"/>
      <c r="C837" s="13"/>
    </row>
    <row r="838" ht="15.75" customHeight="1">
      <c r="A838" s="14"/>
      <c r="B838" s="11"/>
      <c r="C838" s="13"/>
    </row>
    <row r="839" ht="15.75" customHeight="1">
      <c r="A839" s="14"/>
      <c r="B839" s="11"/>
      <c r="C839" s="13"/>
    </row>
    <row r="840" ht="15.75" customHeight="1">
      <c r="A840" s="14"/>
      <c r="B840" s="11"/>
      <c r="C840" s="13"/>
    </row>
    <row r="841" ht="15.75" customHeight="1">
      <c r="A841" s="14"/>
      <c r="B841" s="11"/>
      <c r="C841" s="13"/>
    </row>
    <row r="842" ht="15.75" customHeight="1">
      <c r="A842" s="14"/>
      <c r="B842" s="11"/>
      <c r="C842" s="13"/>
    </row>
    <row r="843" ht="15.75" customHeight="1">
      <c r="A843" s="14"/>
      <c r="B843" s="11"/>
      <c r="C843" s="13"/>
    </row>
    <row r="844" ht="15.75" customHeight="1">
      <c r="A844" s="14"/>
      <c r="B844" s="11"/>
      <c r="C844" s="13"/>
    </row>
    <row r="845" ht="15.75" customHeight="1">
      <c r="A845" s="14"/>
      <c r="B845" s="11"/>
      <c r="C845" s="13"/>
    </row>
    <row r="846" ht="15.75" customHeight="1">
      <c r="A846" s="14"/>
      <c r="B846" s="11"/>
      <c r="C846" s="13"/>
    </row>
    <row r="847" ht="15.75" customHeight="1">
      <c r="A847" s="14"/>
      <c r="B847" s="11"/>
      <c r="C847" s="13"/>
    </row>
    <row r="848" ht="15.75" customHeight="1">
      <c r="A848" s="14"/>
      <c r="B848" s="11"/>
      <c r="C848" s="13"/>
    </row>
    <row r="849" ht="15.75" customHeight="1">
      <c r="A849" s="14"/>
      <c r="B849" s="11"/>
      <c r="C849" s="13"/>
    </row>
    <row r="850" ht="15.75" customHeight="1">
      <c r="A850" s="14"/>
      <c r="B850" s="11"/>
      <c r="C850" s="13"/>
    </row>
    <row r="851" ht="15.75" customHeight="1">
      <c r="A851" s="14"/>
      <c r="B851" s="11"/>
      <c r="C851" s="13"/>
    </row>
    <row r="852" ht="15.75" customHeight="1">
      <c r="A852" s="14"/>
      <c r="B852" s="11"/>
      <c r="C852" s="13"/>
    </row>
    <row r="853" ht="15.75" customHeight="1">
      <c r="A853" s="14"/>
      <c r="B853" s="11"/>
      <c r="C853" s="13"/>
    </row>
    <row r="854" ht="15.75" customHeight="1">
      <c r="A854" s="14"/>
      <c r="B854" s="11"/>
      <c r="C854" s="13"/>
    </row>
    <row r="855" ht="15.75" customHeight="1">
      <c r="A855" s="14"/>
      <c r="B855" s="11"/>
      <c r="C855" s="13"/>
    </row>
    <row r="856" ht="15.75" customHeight="1">
      <c r="A856" s="14"/>
      <c r="B856" s="11"/>
      <c r="C856" s="13"/>
    </row>
    <row r="857" ht="15.75" customHeight="1">
      <c r="A857" s="14"/>
      <c r="B857" s="11"/>
      <c r="C857" s="13"/>
    </row>
    <row r="858" ht="15.75" customHeight="1">
      <c r="A858" s="14"/>
      <c r="B858" s="11"/>
      <c r="C858" s="13"/>
    </row>
    <row r="859" ht="15.75" customHeight="1">
      <c r="A859" s="14"/>
      <c r="B859" s="11"/>
      <c r="C859" s="13"/>
    </row>
    <row r="860" ht="15.75" customHeight="1">
      <c r="A860" s="14"/>
      <c r="B860" s="11"/>
      <c r="C860" s="13"/>
    </row>
    <row r="861" ht="15.75" customHeight="1">
      <c r="A861" s="14"/>
      <c r="B861" s="11"/>
      <c r="C861" s="13"/>
    </row>
    <row r="862" ht="15.75" customHeight="1">
      <c r="A862" s="14"/>
      <c r="B862" s="11"/>
      <c r="C862" s="13"/>
    </row>
    <row r="863" ht="15.75" customHeight="1">
      <c r="A863" s="14"/>
      <c r="B863" s="11"/>
      <c r="C863" s="13"/>
    </row>
    <row r="864" ht="15.75" customHeight="1">
      <c r="A864" s="14"/>
      <c r="B864" s="11"/>
      <c r="C864" s="13"/>
    </row>
    <row r="865" ht="15.75" customHeight="1">
      <c r="A865" s="14"/>
      <c r="B865" s="11"/>
      <c r="C865" s="13"/>
    </row>
    <row r="866" ht="15.75" customHeight="1">
      <c r="A866" s="14"/>
      <c r="B866" s="11"/>
      <c r="C866" s="13"/>
    </row>
    <row r="867" ht="15.75" customHeight="1">
      <c r="A867" s="14"/>
      <c r="B867" s="11"/>
      <c r="C867" s="13"/>
    </row>
    <row r="868" ht="15.75" customHeight="1">
      <c r="A868" s="14"/>
      <c r="B868" s="11"/>
      <c r="C868" s="13"/>
    </row>
    <row r="869" ht="15.75" customHeight="1">
      <c r="A869" s="14"/>
      <c r="B869" s="11"/>
      <c r="C869" s="13"/>
    </row>
    <row r="870" ht="15.75" customHeight="1">
      <c r="A870" s="14"/>
      <c r="B870" s="11"/>
      <c r="C870" s="13"/>
    </row>
    <row r="871" ht="15.75" customHeight="1">
      <c r="A871" s="14"/>
      <c r="B871" s="11"/>
      <c r="C871" s="13"/>
    </row>
    <row r="872" ht="15.75" customHeight="1">
      <c r="A872" s="14"/>
      <c r="B872" s="11"/>
      <c r="C872" s="13"/>
    </row>
    <row r="873" ht="15.75" customHeight="1">
      <c r="A873" s="14"/>
      <c r="B873" s="11"/>
      <c r="C873" s="13"/>
    </row>
    <row r="874" ht="15.75" customHeight="1">
      <c r="A874" s="14"/>
      <c r="B874" s="11"/>
      <c r="C874" s="13"/>
    </row>
    <row r="875" ht="15.75" customHeight="1">
      <c r="A875" s="14"/>
      <c r="B875" s="11"/>
      <c r="C875" s="13"/>
    </row>
    <row r="876" ht="15.75" customHeight="1">
      <c r="A876" s="14"/>
      <c r="B876" s="11"/>
      <c r="C876" s="13"/>
    </row>
    <row r="877" ht="15.75" customHeight="1">
      <c r="A877" s="14"/>
      <c r="B877" s="11"/>
      <c r="C877" s="13"/>
    </row>
    <row r="878" ht="15.75" customHeight="1">
      <c r="A878" s="14"/>
      <c r="B878" s="11"/>
      <c r="C878" s="13"/>
    </row>
    <row r="879" ht="15.75" customHeight="1">
      <c r="A879" s="14"/>
      <c r="B879" s="11"/>
      <c r="C879" s="13"/>
    </row>
    <row r="880" ht="15.75" customHeight="1">
      <c r="A880" s="14"/>
      <c r="B880" s="11"/>
      <c r="C880" s="13"/>
    </row>
    <row r="881" ht="15.75" customHeight="1">
      <c r="A881" s="14"/>
      <c r="B881" s="11"/>
      <c r="C881" s="13"/>
    </row>
    <row r="882" ht="15.75" customHeight="1">
      <c r="A882" s="14"/>
      <c r="B882" s="11"/>
      <c r="C882" s="13"/>
    </row>
    <row r="883" ht="15.75" customHeight="1">
      <c r="A883" s="14"/>
      <c r="B883" s="11"/>
      <c r="C883" s="13"/>
    </row>
    <row r="884" ht="15.75" customHeight="1">
      <c r="A884" s="14"/>
      <c r="B884" s="11"/>
      <c r="C884" s="13"/>
    </row>
    <row r="885" ht="15.75" customHeight="1">
      <c r="A885" s="14"/>
      <c r="B885" s="11"/>
      <c r="C885" s="13"/>
    </row>
    <row r="886" ht="15.75" customHeight="1">
      <c r="A886" s="14"/>
      <c r="B886" s="11"/>
      <c r="C886" s="13"/>
    </row>
    <row r="887" ht="15.75" customHeight="1">
      <c r="A887" s="14"/>
      <c r="B887" s="11"/>
      <c r="C887" s="13"/>
    </row>
    <row r="888" ht="15.75" customHeight="1">
      <c r="A888" s="14"/>
      <c r="B888" s="11"/>
      <c r="C888" s="13"/>
    </row>
    <row r="889" ht="15.75" customHeight="1">
      <c r="A889" s="14"/>
      <c r="B889" s="11"/>
      <c r="C889" s="13"/>
    </row>
    <row r="890" ht="15.75" customHeight="1">
      <c r="A890" s="14"/>
      <c r="B890" s="11"/>
      <c r="C890" s="13"/>
    </row>
    <row r="891" ht="15.75" customHeight="1">
      <c r="A891" s="14"/>
      <c r="B891" s="11"/>
      <c r="C891" s="13"/>
    </row>
    <row r="892" ht="15.75" customHeight="1">
      <c r="A892" s="14"/>
      <c r="B892" s="11"/>
      <c r="C892" s="13"/>
    </row>
    <row r="893" ht="15.75" customHeight="1">
      <c r="A893" s="14"/>
      <c r="B893" s="11"/>
      <c r="C893" s="13"/>
    </row>
    <row r="894" ht="15.75" customHeight="1">
      <c r="A894" s="14"/>
      <c r="B894" s="11"/>
      <c r="C894" s="13"/>
    </row>
    <row r="895" ht="15.75" customHeight="1">
      <c r="A895" s="14"/>
      <c r="B895" s="11"/>
      <c r="C895" s="13"/>
    </row>
    <row r="896" ht="15.75" customHeight="1">
      <c r="A896" s="14"/>
      <c r="B896" s="11"/>
      <c r="C896" s="13"/>
    </row>
    <row r="897" ht="15.75" customHeight="1">
      <c r="A897" s="14"/>
      <c r="B897" s="11"/>
      <c r="C897" s="13"/>
    </row>
    <row r="898" ht="15.75" customHeight="1">
      <c r="A898" s="14"/>
      <c r="B898" s="11"/>
      <c r="C898" s="13"/>
    </row>
    <row r="899" ht="15.75" customHeight="1">
      <c r="A899" s="14"/>
      <c r="B899" s="11"/>
      <c r="C899" s="13"/>
    </row>
    <row r="900" ht="15.75" customHeight="1">
      <c r="A900" s="14"/>
      <c r="B900" s="11"/>
      <c r="C900" s="13"/>
    </row>
    <row r="901" ht="15.75" customHeight="1">
      <c r="A901" s="14"/>
      <c r="B901" s="11"/>
      <c r="C901" s="13"/>
    </row>
    <row r="902" ht="15.75" customHeight="1">
      <c r="A902" s="14"/>
      <c r="B902" s="11"/>
      <c r="C902" s="13"/>
    </row>
    <row r="903" ht="15.75" customHeight="1">
      <c r="A903" s="14"/>
      <c r="B903" s="11"/>
      <c r="C903" s="13"/>
    </row>
    <row r="904" ht="15.75" customHeight="1">
      <c r="A904" s="14"/>
      <c r="B904" s="11"/>
      <c r="C904" s="13"/>
    </row>
    <row r="905" ht="15.75" customHeight="1">
      <c r="A905" s="14"/>
      <c r="B905" s="11"/>
      <c r="C905" s="13"/>
    </row>
    <row r="906" ht="15.75" customHeight="1">
      <c r="A906" s="14"/>
      <c r="B906" s="11"/>
      <c r="C906" s="13"/>
    </row>
    <row r="907" ht="15.75" customHeight="1">
      <c r="A907" s="14"/>
      <c r="B907" s="11"/>
      <c r="C907" s="13"/>
    </row>
    <row r="908" ht="15.75" customHeight="1">
      <c r="A908" s="14"/>
      <c r="B908" s="11"/>
      <c r="C908" s="13"/>
    </row>
    <row r="909" ht="15.75" customHeight="1">
      <c r="A909" s="14"/>
      <c r="B909" s="11"/>
      <c r="C909" s="13"/>
    </row>
    <row r="910" ht="15.75" customHeight="1">
      <c r="A910" s="14"/>
      <c r="B910" s="11"/>
      <c r="C910" s="13"/>
    </row>
    <row r="911" ht="15.75" customHeight="1">
      <c r="A911" s="14"/>
      <c r="B911" s="11"/>
      <c r="C911" s="13"/>
    </row>
    <row r="912" ht="15.75" customHeight="1">
      <c r="A912" s="14"/>
      <c r="B912" s="11"/>
      <c r="C912" s="13"/>
    </row>
    <row r="913" ht="15.75" customHeight="1">
      <c r="A913" s="14"/>
      <c r="B913" s="11"/>
      <c r="C913" s="13"/>
    </row>
    <row r="914" ht="15.75" customHeight="1">
      <c r="A914" s="14"/>
      <c r="B914" s="11"/>
      <c r="C914" s="13"/>
    </row>
    <row r="915" ht="15.75" customHeight="1">
      <c r="A915" s="14"/>
      <c r="B915" s="11"/>
      <c r="C915" s="13"/>
    </row>
    <row r="916" ht="15.75" customHeight="1">
      <c r="A916" s="14"/>
      <c r="B916" s="11"/>
      <c r="C916" s="13"/>
    </row>
    <row r="917" ht="15.75" customHeight="1">
      <c r="A917" s="14"/>
      <c r="B917" s="11"/>
      <c r="C917" s="13"/>
    </row>
    <row r="918" ht="15.75" customHeight="1">
      <c r="A918" s="14"/>
      <c r="B918" s="11"/>
      <c r="C918" s="13"/>
    </row>
    <row r="919" ht="15.75" customHeight="1">
      <c r="A919" s="14"/>
      <c r="B919" s="11"/>
      <c r="C919" s="13"/>
    </row>
    <row r="920" ht="15.75" customHeight="1">
      <c r="A920" s="14"/>
      <c r="B920" s="11"/>
      <c r="C920" s="13"/>
    </row>
    <row r="921" ht="15.75" customHeight="1">
      <c r="A921" s="14"/>
      <c r="B921" s="11"/>
      <c r="C921" s="13"/>
    </row>
    <row r="922" ht="15.75" customHeight="1">
      <c r="A922" s="14"/>
      <c r="B922" s="11"/>
      <c r="C922" s="13"/>
    </row>
    <row r="923" ht="15.75" customHeight="1">
      <c r="A923" s="14"/>
      <c r="B923" s="11"/>
      <c r="C923" s="13"/>
    </row>
    <row r="924" ht="15.75" customHeight="1">
      <c r="A924" s="14"/>
      <c r="B924" s="11"/>
      <c r="C924" s="13"/>
    </row>
    <row r="925" ht="15.75" customHeight="1">
      <c r="A925" s="14"/>
      <c r="B925" s="11"/>
      <c r="C925" s="13"/>
    </row>
    <row r="926" ht="15.75" customHeight="1">
      <c r="A926" s="14"/>
      <c r="B926" s="11"/>
      <c r="C926" s="13"/>
    </row>
    <row r="927" ht="15.75" customHeight="1">
      <c r="A927" s="14"/>
      <c r="B927" s="11"/>
      <c r="C927" s="13"/>
    </row>
    <row r="928" ht="15.75" customHeight="1">
      <c r="A928" s="14"/>
      <c r="B928" s="11"/>
      <c r="C928" s="13"/>
    </row>
    <row r="929" ht="15.75" customHeight="1">
      <c r="A929" s="14"/>
      <c r="B929" s="11"/>
      <c r="C929" s="13"/>
    </row>
    <row r="930" ht="15.75" customHeight="1">
      <c r="A930" s="14"/>
      <c r="B930" s="11"/>
      <c r="C930" s="13"/>
    </row>
    <row r="931" ht="15.75" customHeight="1">
      <c r="A931" s="14"/>
      <c r="B931" s="11"/>
      <c r="C931" s="13"/>
    </row>
    <row r="932" ht="15.75" customHeight="1">
      <c r="A932" s="14"/>
      <c r="B932" s="11"/>
      <c r="C932" s="13"/>
    </row>
    <row r="933" ht="15.75" customHeight="1">
      <c r="A933" s="14"/>
      <c r="B933" s="11"/>
      <c r="C933" s="13"/>
    </row>
    <row r="934" ht="15.75" customHeight="1">
      <c r="A934" s="14"/>
      <c r="B934" s="11"/>
      <c r="C934" s="13"/>
    </row>
    <row r="935" ht="15.75" customHeight="1">
      <c r="A935" s="14"/>
      <c r="B935" s="11"/>
      <c r="C935" s="13"/>
    </row>
    <row r="936" ht="15.75" customHeight="1">
      <c r="A936" s="14"/>
      <c r="B936" s="11"/>
      <c r="C936" s="13"/>
    </row>
    <row r="937" ht="15.75" customHeight="1">
      <c r="A937" s="14"/>
      <c r="B937" s="11"/>
      <c r="C937" s="13"/>
    </row>
    <row r="938" ht="15.75" customHeight="1">
      <c r="A938" s="14"/>
      <c r="B938" s="11"/>
      <c r="C938" s="13"/>
    </row>
    <row r="939" ht="15.75" customHeight="1">
      <c r="A939" s="14"/>
      <c r="B939" s="11"/>
      <c r="C939" s="13"/>
    </row>
    <row r="940" ht="15.75" customHeight="1">
      <c r="A940" s="14"/>
      <c r="B940" s="11"/>
      <c r="C940" s="13"/>
    </row>
    <row r="941" ht="15.75" customHeight="1">
      <c r="A941" s="14"/>
      <c r="B941" s="11"/>
      <c r="C941" s="13"/>
    </row>
    <row r="942" ht="15.75" customHeight="1">
      <c r="A942" s="14"/>
      <c r="B942" s="11"/>
      <c r="C942" s="13"/>
    </row>
    <row r="943" ht="15.75" customHeight="1">
      <c r="A943" s="14"/>
      <c r="B943" s="11"/>
      <c r="C943" s="13"/>
    </row>
    <row r="944" ht="15.75" customHeight="1">
      <c r="A944" s="14"/>
      <c r="B944" s="11"/>
      <c r="C944" s="13"/>
    </row>
    <row r="945" ht="15.75" customHeight="1">
      <c r="A945" s="14"/>
      <c r="B945" s="11"/>
      <c r="C945" s="13"/>
    </row>
    <row r="946" ht="15.75" customHeight="1">
      <c r="A946" s="14"/>
      <c r="B946" s="11"/>
      <c r="C946" s="13"/>
    </row>
    <row r="947" ht="15.75" customHeight="1">
      <c r="A947" s="14"/>
      <c r="B947" s="11"/>
      <c r="C947" s="13"/>
    </row>
    <row r="948" ht="15.75" customHeight="1">
      <c r="A948" s="14"/>
      <c r="B948" s="11"/>
      <c r="C948" s="13"/>
    </row>
    <row r="949" ht="15.75" customHeight="1">
      <c r="A949" s="14"/>
      <c r="B949" s="11"/>
      <c r="C949" s="13"/>
    </row>
    <row r="950" ht="15.75" customHeight="1">
      <c r="A950" s="14"/>
      <c r="B950" s="11"/>
      <c r="C950" s="13"/>
    </row>
    <row r="951" ht="15.75" customHeight="1">
      <c r="A951" s="14"/>
      <c r="B951" s="11"/>
      <c r="C951" s="13"/>
    </row>
    <row r="952" ht="15.75" customHeight="1">
      <c r="A952" s="14"/>
      <c r="B952" s="11"/>
      <c r="C952" s="13"/>
    </row>
    <row r="953" ht="15.75" customHeight="1">
      <c r="A953" s="14"/>
      <c r="B953" s="11"/>
      <c r="C953" s="13"/>
    </row>
    <row r="954" ht="15.75" customHeight="1">
      <c r="A954" s="14"/>
      <c r="B954" s="11"/>
      <c r="C954" s="13"/>
    </row>
    <row r="955" ht="15.75" customHeight="1">
      <c r="A955" s="14"/>
      <c r="B955" s="11"/>
      <c r="C955" s="13"/>
    </row>
    <row r="956" ht="15.75" customHeight="1">
      <c r="A956" s="14"/>
      <c r="B956" s="11"/>
      <c r="C956" s="13"/>
    </row>
    <row r="957" ht="15.75" customHeight="1">
      <c r="A957" s="14"/>
      <c r="B957" s="11"/>
      <c r="C957" s="13"/>
    </row>
    <row r="958" ht="15.75" customHeight="1">
      <c r="A958" s="14"/>
      <c r="B958" s="11"/>
      <c r="C958" s="13"/>
    </row>
    <row r="959" ht="15.75" customHeight="1">
      <c r="A959" s="14"/>
      <c r="B959" s="11"/>
      <c r="C959" s="13"/>
    </row>
    <row r="960" ht="15.75" customHeight="1">
      <c r="A960" s="14"/>
      <c r="B960" s="11"/>
      <c r="C960" s="13"/>
    </row>
    <row r="961" ht="15.75" customHeight="1">
      <c r="A961" s="14"/>
      <c r="B961" s="11"/>
      <c r="C961" s="13"/>
    </row>
    <row r="962" ht="15.75" customHeight="1">
      <c r="A962" s="14"/>
      <c r="B962" s="11"/>
      <c r="C962" s="13"/>
    </row>
    <row r="963" ht="15.75" customHeight="1">
      <c r="A963" s="14"/>
      <c r="B963" s="11"/>
      <c r="C963" s="13"/>
    </row>
    <row r="964" ht="15.75" customHeight="1">
      <c r="A964" s="14"/>
      <c r="B964" s="11"/>
      <c r="C964" s="13"/>
    </row>
    <row r="965" ht="15.75" customHeight="1">
      <c r="A965" s="14"/>
      <c r="B965" s="11"/>
      <c r="C965" s="13"/>
    </row>
    <row r="966" ht="15.75" customHeight="1">
      <c r="A966" s="14"/>
      <c r="B966" s="11"/>
      <c r="C966" s="13"/>
    </row>
    <row r="967" ht="15.75" customHeight="1">
      <c r="A967" s="14"/>
      <c r="B967" s="11"/>
      <c r="C967" s="13"/>
    </row>
    <row r="968" ht="15.75" customHeight="1">
      <c r="A968" s="14"/>
      <c r="B968" s="11"/>
      <c r="C968" s="13"/>
    </row>
    <row r="969" ht="15.75" customHeight="1">
      <c r="A969" s="14"/>
      <c r="B969" s="11"/>
      <c r="C969" s="13"/>
    </row>
    <row r="970" ht="15.75" customHeight="1">
      <c r="A970" s="14"/>
      <c r="B970" s="11"/>
      <c r="C970" s="13"/>
    </row>
    <row r="971" ht="15.75" customHeight="1">
      <c r="A971" s="14"/>
      <c r="B971" s="11"/>
      <c r="C971" s="13"/>
    </row>
    <row r="972" ht="15.75" customHeight="1">
      <c r="A972" s="14"/>
      <c r="B972" s="11"/>
      <c r="C972" s="13"/>
    </row>
    <row r="973" ht="15.75" customHeight="1">
      <c r="A973" s="14"/>
      <c r="B973" s="11"/>
      <c r="C973" s="13"/>
    </row>
    <row r="974" ht="15.75" customHeight="1">
      <c r="A974" s="14"/>
      <c r="B974" s="11"/>
      <c r="C974" s="13"/>
    </row>
    <row r="975" ht="15.75" customHeight="1">
      <c r="A975" s="14"/>
      <c r="B975" s="11"/>
      <c r="C975" s="13"/>
    </row>
    <row r="976" ht="15.75" customHeight="1">
      <c r="A976" s="14"/>
      <c r="B976" s="11"/>
      <c r="C976" s="13"/>
    </row>
    <row r="977" ht="15.75" customHeight="1">
      <c r="A977" s="14"/>
      <c r="B977" s="11"/>
      <c r="C977" s="13"/>
    </row>
    <row r="978" ht="15.75" customHeight="1">
      <c r="A978" s="14"/>
      <c r="B978" s="11"/>
      <c r="C978" s="13"/>
    </row>
    <row r="979" ht="15.75" customHeight="1">
      <c r="A979" s="14"/>
      <c r="B979" s="11"/>
      <c r="C979" s="13"/>
    </row>
    <row r="980" ht="15.75" customHeight="1">
      <c r="A980" s="14"/>
      <c r="B980" s="11"/>
      <c r="C980" s="13"/>
    </row>
    <row r="981" ht="15.75" customHeight="1">
      <c r="A981" s="14"/>
      <c r="B981" s="11"/>
      <c r="C981" s="13"/>
    </row>
    <row r="982" ht="15.75" customHeight="1">
      <c r="A982" s="14"/>
      <c r="B982" s="11"/>
      <c r="C982" s="13"/>
    </row>
    <row r="983" ht="15.75" customHeight="1">
      <c r="A983" s="14"/>
      <c r="B983" s="11"/>
      <c r="C983" s="13"/>
    </row>
    <row r="984" ht="15.75" customHeight="1">
      <c r="A984" s="14"/>
      <c r="B984" s="11"/>
      <c r="C984" s="13"/>
    </row>
    <row r="985" ht="15.75" customHeight="1">
      <c r="A985" s="14"/>
      <c r="B985" s="11"/>
      <c r="C985" s="13"/>
    </row>
    <row r="986" ht="15.75" customHeight="1">
      <c r="A986" s="14"/>
      <c r="B986" s="11"/>
      <c r="C986" s="13"/>
    </row>
    <row r="987" ht="15.75" customHeight="1">
      <c r="A987" s="14"/>
      <c r="B987" s="11"/>
      <c r="C987" s="13"/>
    </row>
    <row r="988" ht="15.75" customHeight="1">
      <c r="A988" s="14"/>
      <c r="B988" s="11"/>
      <c r="C988" s="13"/>
    </row>
    <row r="989" ht="15.75" customHeight="1">
      <c r="A989" s="14"/>
      <c r="B989" s="11"/>
      <c r="C989" s="13"/>
    </row>
    <row r="990" ht="15.75" customHeight="1">
      <c r="A990" s="14"/>
      <c r="B990" s="11"/>
      <c r="C990" s="13"/>
    </row>
    <row r="991" ht="15.75" customHeight="1">
      <c r="A991" s="14"/>
      <c r="B991" s="11"/>
      <c r="C991" s="13"/>
    </row>
    <row r="992" ht="15.75" customHeight="1">
      <c r="A992" s="14"/>
      <c r="B992" s="11"/>
      <c r="C992" s="13"/>
    </row>
    <row r="993" ht="15.75" customHeight="1">
      <c r="A993" s="14"/>
      <c r="B993" s="11"/>
      <c r="C993" s="13"/>
    </row>
    <row r="994" ht="15.75" customHeight="1">
      <c r="A994" s="14"/>
      <c r="B994" s="11"/>
      <c r="C994" s="13"/>
    </row>
    <row r="995" ht="15.75" customHeight="1">
      <c r="A995" s="14"/>
      <c r="B995" s="11"/>
      <c r="C995" s="13"/>
    </row>
    <row r="996" ht="15.75" customHeight="1">
      <c r="A996" s="14"/>
      <c r="B996" s="11"/>
      <c r="C996" s="13"/>
    </row>
    <row r="997" ht="15.75" customHeight="1">
      <c r="A997" s="14"/>
      <c r="B997" s="11"/>
      <c r="C997" s="13"/>
    </row>
    <row r="998" ht="15.75" customHeight="1">
      <c r="A998" s="14"/>
      <c r="B998" s="11"/>
      <c r="C998" s="13"/>
    </row>
    <row r="999" ht="15.75" customHeight="1">
      <c r="A999" s="14"/>
      <c r="B999" s="11"/>
      <c r="C999" s="13"/>
    </row>
  </sheetData>
  <printOptions/>
  <pageMargins bottom="0.75" footer="0.0" header="0.0" left="0.7" right="0.7" top="0.75"/>
  <pageSetup orientation="landscape"/>
  <drawing r:id="rId1"/>
</worksheet>
</file>